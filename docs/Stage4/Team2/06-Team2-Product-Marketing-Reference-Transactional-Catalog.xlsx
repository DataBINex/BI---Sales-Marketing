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ence Catalog" sheetId="1" state="visible" r:id="rId3"/>
    <sheet name="Transactional Catalog" sheetId="2" state="visible" r:id="rId4"/>
    <sheet name="Reference-Transaction Mapping" sheetId="3" state="visible" r:id="rId5"/>
    <sheet name="Transaction Relationships" sheetId="4" state="visible" r:id="rId6"/>
    <sheet name="Shared Data" sheetId="5" state="visible" r:id="rId7"/>
    <sheet name="Duplicate &amp; Conflict Log" sheetId="6" state="visible" r:id="rId8"/>
    <sheet name="Open Decisions" sheetId="7" state="visible" r:id="rId9"/>
    <sheet name="Validation" sheetId="8" state="visible" r:id="rId10"/>
  </sheets>
  <definedNames>
    <definedName function="false" hidden="true" localSheetId="5" name="_xlnm._FilterDatabase" vbProcedure="false">'Duplicate &amp; Conflict Log'!$A$1:$H$36</definedName>
    <definedName function="false" hidden="true" localSheetId="6" name="_xlnm._FilterDatabase" vbProcedure="false">'Open Decisions'!$A$1:$G$33</definedName>
    <definedName function="false" hidden="true" localSheetId="0" name="_xlnm._FilterDatabase" vbProcedure="false">'Reference Catalog'!$A$1:$M$9</definedName>
    <definedName function="false" hidden="true" localSheetId="2" name="_xlnm._FilterDatabase" vbProcedure="false">'Reference-Transaction Mapping'!$A$1:$F$8</definedName>
    <definedName function="false" hidden="true" localSheetId="4" name="_xlnm._FilterDatabase" vbProcedure="false">'Shared Data'!$A$1:$H$15</definedName>
    <definedName function="false" hidden="true" localSheetId="3" name="_xlnm._FilterDatabase" vbProcedure="false">'Transaction Relationships'!$A$1:$J$23</definedName>
    <definedName function="false" hidden="true" localSheetId="1" name="_xlnm._FilterDatabase" vbProcedure="false">'Transactional Catalog'!$A$1:$N$9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<sst xmlns="http://schemas.openxmlformats.org/spreadsheetml/2006/main" count="1225" uniqueCount="769">
  <si>
    <t xml:space="preserve">Entity</t>
  </si>
  <si>
    <t xml:space="preserve">Business Definition</t>
  </si>
  <si>
    <t xml:space="preserve">Business Purpose</t>
  </si>
  <si>
    <t xml:space="preserve">Code / Key</t>
  </si>
  <si>
    <t xml:space="preserve">Value / Description</t>
  </si>
  <si>
    <t xml:space="preserve">Parent Reference</t>
  </si>
  <si>
    <t xml:space="preserve">Hierarchy</t>
  </si>
  <si>
    <t xml:space="preserve">Status</t>
  </si>
  <si>
    <t xml:space="preserve">Source</t>
  </si>
  <si>
    <t xml:space="preserve">Owner</t>
  </si>
  <si>
    <t xml:space="preserve">Related Process</t>
  </si>
  <si>
    <t xml:space="preserve">Related Transactions</t>
  </si>
  <si>
    <t xml:space="preserve">Notes</t>
  </si>
  <si>
    <t xml:space="preserve">Campaign Type</t>
  </si>
  <si>
    <t xml:space="preserve">مرجع انواع کمپین‌های بازاریابی؛ هر نوع با شناسه و نام نوع مشخص می‌شود.</t>
  </si>
  <si>
    <t xml:space="preserve">طبقه‌بندی یکپارچه کمپین‌ها و فراهم‌کردن امکان انتخاب نوع کمپین و تحلیل آن بر اساس نوع.</t>
  </si>
  <si>
    <t xml:space="preserve">Campaign_Type_ID</t>
  </si>
  <si>
    <t xml:space="preserve">Type_Name؛ Description</t>
  </si>
  <si>
    <t xml:space="preserve">مشخص نشده؛ Open / To Be Confirmed</t>
  </si>
  <si>
    <t xml:space="preserve">تک‌سطحی در اطلاعات موجود؛ وجود زیرنوع تأیید نشده است.</t>
  </si>
  <si>
    <t xml:space="preserve">Open / To Be Confirmed</t>
  </si>
  <si>
    <t xml:space="preserve">Marketing Campaign؛ Campaign Type (مرحله 05)</t>
  </si>
  <si>
    <t xml:space="preserve">Marketing</t>
  </si>
  <si>
    <t xml:space="preserve">تعریف و مدیریت کمپین بازاریابی</t>
  </si>
  <si>
    <t xml:space="preserve">Marketing Campaign</t>
  </si>
  <si>
    <t xml:space="preserve">Campaign_Type_ID و Type_Name وضعیت Confirmed دارند. Description وضعیت Open / To Be Confirmed دارد؛ حداکثر طول و پشتیبانی از متن چندزبانه نیازمند تصمیم است. فهرست مقادیر مجاز و وضعیت مرجع نهایی مشخص نشده‌اند. | [Merge Log] DC-24, DC-30; OD-25</t>
  </si>
  <si>
    <t xml:space="preserve">Campaign Channel</t>
  </si>
  <si>
    <t xml:space="preserve">فهرست مرجع کانال‌ها یا رسانه‌های مورد استفاده برای اجرای کمپین‌های بازاریابی.</t>
  </si>
  <si>
    <t xml:space="preserve">استانداردسازی کانال‌های بازاریابی و پشتیبانی از انتخاب کانال در کمپین‌ها و تحلیل عملکرد بر اساس کانال.</t>
  </si>
  <si>
    <t xml:space="preserve">Channel_ID</t>
  </si>
  <si>
    <t xml:space="preserve">Channel_Name؛ Channel_Type؛ Channel_Description</t>
  </si>
  <si>
    <t xml:space="preserve">تک‌سطحی در اطلاعات موجود؛ ساختار سلسله‌مراتبی تأیید نشده است.</t>
  </si>
  <si>
    <t xml:space="preserve">Campaign &amp; Advertising؛ Campaign Channel (مرحله 05)</t>
  </si>
  <si>
    <t xml:space="preserve">Product &amp; Marketing</t>
  </si>
  <si>
    <t xml:space="preserve">مدیریت کانال و اجرای کمپین‌های بازاریابی</t>
  </si>
  <si>
    <t xml:space="preserve">Marketing Campaign (از طریق Campaign_ID / Channel_ID؛ نگاشت نهایی نیازمند تأیید)</t>
  </si>
  <si>
    <t xml:space="preserve">Channel_Description و Channel_Status در مرحله 05 Confirmed هستند؛ برای وضعیت، مقادیر نمونه Active / Inactive ذکر شده است. Channel_ID، Channel_Name و Channel_Type دارای موارد باز و تعارض میان منابع هستند: Channel_ID در برابر ChannelID، تفاوت نوع داده و قالب. فهرست نهایی مقادیر Channel_Type و سیستم منبع دقیق تأیید نشده است. Campaign_ID در همین Entity با Classification=Transactional آمده و در این کاتالوگ به‌عنوان کلید مرجع تلقی نشده است. | [Merge Log] DC-24, DC-25; OD-16, OD-25</t>
  </si>
  <si>
    <t xml:space="preserve">Campaign Audience</t>
  </si>
  <si>
    <t xml:space="preserve">فهرست مرجع گروه‌های مخاطب هدف که برای هدف‌گذاری کمپین‌های بازاریابی به کار می‌روند.</t>
  </si>
  <si>
    <t xml:space="preserve">استانداردسازی گروه‌های مخاطب و امکان انتخاب و تحلیل کمپین‌ها بر اساس مخاطب هدف.</t>
  </si>
  <si>
    <t xml:space="preserve">Audience_ID</t>
  </si>
  <si>
    <t xml:space="preserve">Audience_Name؛ Audience_Type؛ Audience_Description</t>
  </si>
  <si>
    <t xml:space="preserve">تک‌سطحی در اطلاعات موجود؛ سلسله‌مراتب مخاطبان تأیید نشده است.</t>
  </si>
  <si>
    <t xml:space="preserve">Campaign &amp; Advertising؛ Campaign Audience (مرحله 05)</t>
  </si>
  <si>
    <t xml:space="preserve">تعریف مخاطب و هدف‌گذاری کمپین</t>
  </si>
  <si>
    <t xml:space="preserve">Marketing Campaign (از طریق Campaign_ID؛ ارتباط دقیق نیازمند تأیید)</t>
  </si>
  <si>
    <t xml:space="preserve">Audience_Description و Audience_Status در مرحله 05 Confirmed هستند؛ مقادیر نمونه وضعیت Active / Inactive است. Audience_ID و Audience_Name دارای تعارض نام‌گذاری و طبقه‌بندی بین F6 و F7 هستند؛ انتخاب موقت Reference در مرحله 05 ثبت شده است. تصمیم باز: مخاطب مرجع قابل استفاده مجدد است یا مختص کمپین؟ نوع داده، قالب، یکتایی نام و سیستم منبع دقیق نیز نیازمند تأییدند. Demographics در همین Entity با Classification=Master است و در این کاتالوگ وارد نشده؛ Campaign_ID با Classification=Transactional است. | [Merge Log] DC-22, DC-24; OD-12, OD-25</t>
  </si>
  <si>
    <t xml:space="preserve">Product Category</t>
  </si>
  <si>
    <t xml:space="preserve">دسته اصلی محصولات که کالاها بر اساس آن گروه‌بندی می‌شوند</t>
  </si>
  <si>
    <t xml:space="preserve">گروه‌بندی کلی محصولات برای گزارش‌گیری، تحلیل فروش و مدیریت سبد محصول</t>
  </si>
  <si>
    <t xml:space="preserve">Open / To Be Confirmed (Product_Category_ID یا CategoryID؟)</t>
  </si>
  <si>
    <t xml:space="preserve">نمونه پیشنهادی (نیازمند تأیید): نوشیدنی، لبنیات، خشکبار</t>
  </si>
  <si>
    <t xml:space="preserve">Open / To Be Confirmed (بسته به مدل انتخابی: Entity جدا یا درخت خودارجاع)</t>
  </si>
  <si>
    <t xml:space="preserve">مرجع دسته‌بندی محصول (کاتالوگ محصول)</t>
  </si>
  <si>
    <t xml:space="preserve">Product &amp; Marketing (مدیریت محصول)</t>
  </si>
  <si>
    <t xml:space="preserve">مدیریت محصولات</t>
  </si>
  <si>
    <t xml:space="preserve">تراکنش مستقیم ثبت نشده؛ از طریق Product (Master) و به‌صورت غیرمستقیم در Sales Order Item (تیم ۱)</t>
  </si>
  <si>
    <t xml:space="preserve">این Entity با سه ساختار و نام‌گذاری متفاوت مطرح شده (Product Category / CategoryID / ساختار درختی)؛ ساختار نهایی و نام کلید در مرحله Merge تعیین می‌شود | [Merge Log] DC-25, DC-27; OD-21, OD-22</t>
  </si>
  <si>
    <t xml:space="preserve">Product Subcategory</t>
  </si>
  <si>
    <t xml:space="preserve">زیرمجموعه دقیق‌تر یک دسته محصول</t>
  </si>
  <si>
    <t xml:space="preserve">تحلیل ریزتر فروش و موجودی در سطحی پایین‌تر از دسته اصلی</t>
  </si>
  <si>
    <t xml:space="preserve">Subcategory_ID (نام‌گذاری با SubcategoryID هم دیده شده؛ Open / To Be Confirmed)</t>
  </si>
  <si>
    <t xml:space="preserve">نمونه پیشنهادی (نیازمند تأیید): آبمیوه، نوشابه، دوغ</t>
  </si>
  <si>
    <t xml:space="preserve">Open / To Be Confirmed (Product Category، فقط اگر مدل «Entity جدا» انتخاب شود)</t>
  </si>
  <si>
    <t xml:space="preserve">Open / To Be Confirmed (در مدل درختی، زیردسته همان Product Category با سطح بالاتر است)</t>
  </si>
  <si>
    <t xml:space="preserve">برای سلسله‌مراتب دسته‌بندی دو مدل مطرح است (Entity جدا یا درخت خودارجاع)؛ اگر مدل درختی انتخاب شود این Entity زائد می‌شود، پس تصمیم نهایی در Merge گرفته می‌شود و فعلاً حدس زده نشد | [Merge Log] DC-27; OD-21</t>
  </si>
  <si>
    <t xml:space="preserve">Package</t>
  </si>
  <si>
    <t xml:space="preserve">نوع بسته‌بندی محصول در سطح واحد قابل فروش (بطری، کارتن، پاکت)</t>
  </si>
  <si>
    <t xml:space="preserve">مشخص کردن شکل عرضه محصول برای فروش، انبارداری و توزیع</t>
  </si>
  <si>
    <t xml:space="preserve">Package_ID / Package_Code</t>
  </si>
  <si>
    <t xml:space="preserve">بطری، کارتن، پاکت</t>
  </si>
  <si>
    <t xml:space="preserve">—</t>
  </si>
  <si>
    <t xml:space="preserve">تک‌سطحی (زیرمجموعه ندارد)</t>
  </si>
  <si>
    <t xml:space="preserve">Defined</t>
  </si>
  <si>
    <t xml:space="preserve">سیستم مدیریت محصولات</t>
  </si>
  <si>
    <t xml:space="preserve">تراکنش مستقیم ثبت نشده؛ استفاده از طریق SKU (Master) و در تراکنش‌های فروش تیم ۱ به‌صورت غیرمستقیم؛ در Merge با تیم ۱ تأیید شود</t>
  </si>
  <si>
    <t xml:space="preserve">مشخص نیست وزن بسته‌بندی جزو مشخصات Package است یا Product؛ نیازمند تصمیم تیم مدیریت محصول | [Merge Log] DC-26; OD-23</t>
  </si>
  <si>
    <t xml:space="preserve">Unit Of Measure</t>
  </si>
  <si>
    <t xml:space="preserve">واحد اندازه‌گیری استاندارد محصول (کیلوگرم، لیتر، عدد)</t>
  </si>
  <si>
    <t xml:space="preserve">یکسان‌سازی واحد گزارش موجودی، فروش و قیمت‌گذاری</t>
  </si>
  <si>
    <t xml:space="preserve">UOM_ID / UOM_Code</t>
  </si>
  <si>
    <t xml:space="preserve">کیلوگرم (KG)، لیتر (LT)، عدد (PCS)</t>
  </si>
  <si>
    <t xml:space="preserve">تراکنش مستقیم ثبت نشده؛ استفاده از طریق SKU و Product (Base_UOM_ID) که Master هستند؛ در Merge با تیم ۱ تأیید شود</t>
  </si>
  <si>
    <t xml:space="preserve">املای نام (Unit Of Measure / Unit of Measure) در مرحله Merge یکدست شود؛ واحد پایه محصول هنوز مشخص نیست | [Merge Log] DC-26; OD-23</t>
  </si>
  <si>
    <t xml:space="preserve">Product Price</t>
  </si>
  <si>
    <t xml:space="preserve">قیمت واحد محصول همراه با بازه اعتبار (تاریخ اجرای قیمت)</t>
  </si>
  <si>
    <t xml:space="preserve">منبع اصلی قیمت محصول؛ هر تغییر قیمت با تاریخ اجرا در آن ثبت می‌شود</t>
  </si>
  <si>
    <t xml:space="preserve">مقدار قیمت واحد در یک بازه زمانی مشخص</t>
  </si>
  <si>
    <t xml:space="preserve">تک‌سطحی</t>
  </si>
  <si>
    <t xml:space="preserve">سیستم قیمت‌گذاری / ERP</t>
  </si>
  <si>
    <t xml:space="preserve">Product &amp; Marketing (تصمیم‌گیر: مدیریت فروش / قیمت‌گذاری)</t>
  </si>
  <si>
    <t xml:space="preserve">مدیریت محصولات، قیمت‌گذاری</t>
  </si>
  <si>
    <t xml:space="preserve">Sales Order Item، Contract Item، Invoice Item (تیم ۱، Unit_Price)؛ Order_Line_Item (Unit_Price_Snapshot)</t>
  </si>
  <si>
    <t xml:space="preserve">پیشنهاد: Product Price منبع اصلی قیمت باشد و Base_Price روی Product مقدار جاری یا حذف شود؛ تصمیم نهایی هنوز گرفته نشده. قیمت ثبت‌شده در سفارش یک Snapshot مستقل است | [Merge Log] DC-28, DC-29; OD-24</t>
  </si>
  <si>
    <t xml:space="preserve">Transaction Type</t>
  </si>
  <si>
    <t xml:space="preserve">Business Event</t>
  </si>
  <si>
    <t xml:space="preserve">Business Grain</t>
  </si>
  <si>
    <t xml:space="preserve">Business Date</t>
  </si>
  <si>
    <t xml:space="preserve">Related Master</t>
  </si>
  <si>
    <t xml:space="preserve">Related Reference</t>
  </si>
  <si>
    <t xml:space="preserve">Related Transaction</t>
  </si>
  <si>
    <t xml:space="preserve">Market Research</t>
  </si>
  <si>
    <t xml:space="preserve">فرآیند تحقیق بازار برای جمع‌آوری و بررسی اطلاعات موردنیاز کسب‌وکار.</t>
  </si>
  <si>
    <t xml:space="preserve">Research Activity</t>
  </si>
  <si>
    <t xml:space="preserve">ثبت شروع، اجرای و پایان یک فرآیند تحقیق بازار.</t>
  </si>
  <si>
    <t xml:space="preserve">هر رکورد = یک فرآیند/پروژه تحقیق بازار.</t>
  </si>
  <si>
    <t xml:space="preserve">Start_Date / End_Date</t>
  </si>
  <si>
    <t xml:space="preserve">Research_Status</t>
  </si>
  <si>
    <t xml:space="preserve">Market Research System</t>
  </si>
  <si>
    <t xml:space="preserve">Market Survey</t>
  </si>
  <si>
    <t xml:space="preserve">Business Purpose از تعریف Attributeها استنباط شده است. Conflict: خود Entity در 4.1 Transactional است، اما Attributeهای آن در Stage 05 عمدتاً Planning طبقه‌بندی شده‌اند؛ تصمیم نهایی در Open Decisions. | [Merge Log] DC-01..DC-03, DC-08, DC-09, DC-14؛ OD-01..OD-04</t>
  </si>
  <si>
    <t xml:space="preserve">فعالیت/ابزار Survey برای جمع‌آوری داده در یک تحقیق بازار.</t>
  </si>
  <si>
    <t xml:space="preserve">Survey Activity</t>
  </si>
  <si>
    <t xml:space="preserve">ثبت اجرای Survey برای جمع‌آوری داده‌های بازار.</t>
  </si>
  <si>
    <t xml:space="preserve">هر رکورد = یک Survey/فعالیت نظرسنجی در چارچوب یک تحقیق بازار.</t>
  </si>
  <si>
    <t xml:space="preserve">Survey_Date</t>
  </si>
  <si>
    <t xml:space="preserve">Survey_Status</t>
  </si>
  <si>
    <t xml:space="preserve">Market Survey System</t>
  </si>
  <si>
    <t xml:space="preserve">Market Segment</t>
  </si>
  <si>
    <t xml:space="preserve">Market Segment در Attribute Segment_ID به‌عنوان Related Entity آمده است؛ وجود آن در Final Entity Catalog باید با نسخه نهایی کنترل شود. | [Merge Log] DC-01, DC-04..DC-06, DC-08؛ OD-03, OD-05</t>
  </si>
  <si>
    <t xml:space="preserve">Market Price</t>
  </si>
  <si>
    <t xml:space="preserve">رکورد قیمت مشاهده‌شده یک محصول در بازار.</t>
  </si>
  <si>
    <t xml:space="preserve">Market Price Monitoring</t>
  </si>
  <si>
    <t xml:space="preserve">Price Observation</t>
  </si>
  <si>
    <t xml:space="preserve">ثبت مشاهده و ثبت قیمت محصول/قیمت مرتبط با رقیب در بازار.</t>
  </si>
  <si>
    <t xml:space="preserve">هر رکورد = یک مشاهده قیمت برای یک Product در یک Market و یک تاریخ؛ Competitor در صورت وجود.</t>
  </si>
  <si>
    <t xml:space="preserve">Price_Date</t>
  </si>
  <si>
    <t xml:space="preserve">Market Price Monitoring System</t>
  </si>
  <si>
    <t xml:space="preserve">Marketing / Sales</t>
  </si>
  <si>
    <t xml:space="preserve">Product; Competitor</t>
  </si>
  <si>
    <t xml:space="preserve">Status در Attributeهای Stage 05 تعریف نشده است؛ نباید Status جدید حدس زده شود. Price_Value صراحتاً قیمت مشاهده‌شده بازار است، نه قیمت فروش داخلی. | [Merge Log] DC-01, DC-05, DC-07, DC-08, DC-29؛ OD-04, OD-08, OD-26</t>
  </si>
  <si>
    <t xml:space="preserve">Brand Activity</t>
  </si>
  <si>
    <t xml:space="preserve">هر فعالیت اجرایی مرتبط با مدیریت یا توسعه برند.</t>
  </si>
  <si>
    <t xml:space="preserve">Branding</t>
  </si>
  <si>
    <t xml:space="preserve">ثبت ایجاد/شروع/اجرای یک فعالیت برند.</t>
  </si>
  <si>
    <t xml:space="preserve">هر رکورد = یک فعالیت مشخص مرتبط با یک Brand.</t>
  </si>
  <si>
    <t xml:space="preserve">Activity_Start_Date / Activity_End_Date</t>
  </si>
  <si>
    <t xml:space="preserve">Activity_Status</t>
  </si>
  <si>
    <t xml:space="preserve">فرایند: برندینگ؛ سیستم: To Be Confirmed</t>
  </si>
  <si>
    <t xml:space="preserve">To Be Confirmed</t>
  </si>
  <si>
    <t xml:space="preserve">Brand</t>
  </si>
  <si>
    <t xml:space="preserve">Owner در Stage 05 مشخص نشده است. رابطه مستقیم با Brand Campaign در Dictionary تعریف نشده؛ فقط Brand مشترک است، بنابراین به‌عنوان Transaction Relationship قطعی فرض نشده. | [Merge Log] DC-13, DC-30؛ OD-13, OD-15</t>
  </si>
  <si>
    <t xml:space="preserve">Brand Campaign</t>
  </si>
  <si>
    <t xml:space="preserve">کمپینی با هدف توسعه آگاهی، هویت یا جایگاه برند.</t>
  </si>
  <si>
    <t xml:space="preserve">ثبت ایجاد و اجرای یک کمپین برند.</t>
  </si>
  <si>
    <t xml:space="preserve">هر رکورد = یک کمپین مشخص برای یک Brand.</t>
  </si>
  <si>
    <t xml:space="preserve">Campaign_Start_Date / Campaign_End_Date</t>
  </si>
  <si>
    <t xml:space="preserve">Campaign_Status</t>
  </si>
  <si>
    <t xml:space="preserve">Campaign Type; Campaign Channel; Campaign Audience</t>
  </si>
  <si>
    <t xml:space="preserve">Campaign Cost</t>
  </si>
  <si>
    <t xml:space="preserve">Campaign Budget از نوع Planning و Campaign Result از نوع Analytical/Performance هستند و در Related Transaction قرار نمی‌گیرند. Campaign Cost با Attribute جداگانه در Brand Campaign و Entity Campaign Cost دارای Overlap است؛ نگاشت نهایی باز است. | [Merge Log] DC-10..DC-13, DC-24؛ OD-07, OD-13, OD-16</t>
  </si>
  <si>
    <t xml:space="preserve">کمپین اجرایی بازاریابی که برای یک هدف مشخص برنامه‌ریزی و اجرا می‌شود.</t>
  </si>
  <si>
    <t xml:space="preserve">ثبت ایجاد، شروع، اجرا، توقف یا تکمیل یک کمپین بازاریابی.</t>
  </si>
  <si>
    <t xml:space="preserve">هر رکورد = یک کمپین اجرایی بازاریابی در یک دوره مشخص.</t>
  </si>
  <si>
    <t xml:space="preserve">Marketing Campaign; فرایند: کمپین بازاریابی؛ سیستم: To Be Confirmed</t>
  </si>
  <si>
    <t xml:space="preserve">Campaign Cost; Promotion</t>
  </si>
  <si>
    <t xml:space="preserve">Start_Date/End_Date در Stage 05 Planning و Campaign_Status در Stage 05 Reference طبقه‌بندی شده‌اند؛ در 4.1 خود Entity Transactional است. Conflict باید حفظ و در Merge/Open Decisions بررسی شود. | [Merge Log] DC-12, DC-14..DC-16, DC-24؛ OD-10, OD-11</t>
  </si>
  <si>
    <t xml:space="preserve">رکورد هزینه واقعی انجام‌شده برای یک کمپین.</t>
  </si>
  <si>
    <t xml:space="preserve">Actual Cost</t>
  </si>
  <si>
    <t xml:space="preserve">ثبت وقوع و ثبت یک هزینه واقعی کمپین.</t>
  </si>
  <si>
    <t xml:space="preserve">هر رکورد = یک ردیف هزینه واقعی برای یک Campaign در یک Cost_Date.</t>
  </si>
  <si>
    <t xml:space="preserve">Cost_Date</t>
  </si>
  <si>
    <t xml:space="preserve">Campaign Cost; فرایند: کمپین بازاریابی؛ سیستم: To Be Confirmed</t>
  </si>
  <si>
    <t xml:space="preserve">Marketing / Finance</t>
  </si>
  <si>
    <t xml:space="preserve">Status در Attributeهای Stage 05 تعریف نشده است. Campaign_ID صراحتاً به Marketing Campaign مرتبط است. پوشش هزینه Brand Campaign در Stage 05 باز و نیازمند تصمیم است؛ دوباره‌شماری نباید فرض شود. | [Merge Log] DC-10, DC-11, DC-15, DC-30؛ OD-07, OD-08, OD-15</t>
  </si>
  <si>
    <t xml:space="preserve">Promotion</t>
  </si>
  <si>
    <t xml:space="preserve">پیشنهاد تجاری/بازاریابی شامل نوع Promotion، شرایط و بازه اعتبار آن.</t>
  </si>
  <si>
    <t xml:space="preserve">Marketing / Campaign &amp; Advertising</t>
  </si>
  <si>
    <t xml:space="preserve">Promotion Definition / Activation</t>
  </si>
  <si>
    <t xml:space="preserve">تعریف، فعال‌سازی یا تغییر وضعیت یک Promotion.</t>
  </si>
  <si>
    <t xml:space="preserve">هر رکورد = یک Promotion با مشخصات کسب‌وکاری و بازه اعتبار.</t>
  </si>
  <si>
    <t xml:space="preserve">Valid_From / Valid_To</t>
  </si>
  <si>
    <t xml:space="preserve">Promotion_Status</t>
  </si>
  <si>
    <t xml:space="preserve">Team 1</t>
  </si>
  <si>
    <t xml:space="preserve">Marketing Campaign; Sales Order</t>
  </si>
  <si>
    <t xml:space="preserve">Shared Entity است؛ مالکیت اصلی با Team 1 است و Team 2 فقط خاستگاه/منطق بازاریابی Promotion را مستند می‌کند. جزئیات اعمال Promotion در Sales Order در محدوده Team 1 است. | [Merge Log] DC-33؛ SD-01؛ OD-09, OD-11, OD-18</t>
  </si>
  <si>
    <t xml:space="preserve">Mapping ID</t>
  </si>
  <si>
    <t xml:space="preserve">Transaction</t>
  </si>
  <si>
    <t xml:space="preserve">Reference</t>
  </si>
  <si>
    <t xml:space="preserve">Business Use</t>
  </si>
  <si>
    <t xml:space="preserve">Mandatory?</t>
  </si>
  <si>
    <t xml:space="preserve">MAP-001</t>
  </si>
  <si>
    <t xml:space="preserve">مشخص‌کردن کانال/رسانه‌ای که یک فعالیت برند از طریق آن اجرا می‌شود و امکان تحلیل فعالیت‌های برند بر اساس کانال.</t>
  </si>
  <si>
    <t xml:space="preserve">منبع: Related Reference ردیف Brand Activity در کاتالوگ تراکنشی. متن Business Use از Business Purpose مرجع Campaign Channel استخراج شده و در Stage 05 صراحتاً برای Brand Activity ذکر نشده. در کاتالوگ Reference (Task 4.6.2) این ارتباط ثبت نشده (فقط Marketing Campaign). Mandatory نامشخص است. رابطه مستقیم Brand Activity با Brand Campaign قطعی نیست و در این Mapping وارد نشده. | [Merge] Linked: TR-009 (DC-17)؛ DC-24؛ OD-16</t>
  </si>
  <si>
    <t xml:space="preserve">MAP-002</t>
  </si>
  <si>
    <t xml:space="preserve">طبقه‌بندی کمپین برند بر اساس نوع کمپین و تحلیل کمپین‌ها بر اساس نوع.</t>
  </si>
  <si>
    <t xml:space="preserve">منبع: Related Reference ردیف Brand Campaign. در کاتالوگ Reference (Task 4.6.2) فقط Marketing Campaign به‌عنوان Related Transaction ثبت شده؛ ارتباط با Brand Campaign فقط در کاتالوگ تراکنشی آمده و باید دوطرفه تأیید شود. فهرست مقادیر مجاز Campaign Type و وضعیت مرجع نهایی (Open / To Be Confirmed) هنوز مشخص نیست. Mandatory نامشخص است. | [Merge] Linked: TR-011 (DC-17)؛ DC-24؛ OD-16</t>
  </si>
  <si>
    <t xml:space="preserve">MAP-003</t>
  </si>
  <si>
    <t xml:space="preserve">مشخص‌کردن کانال‌های اجرای کمپین برند و تحلیل عملکرد بر اساس کانال.</t>
  </si>
  <si>
    <t xml:space="preserve">منبع: Related Reference ردیف Brand Campaign. در کاتالوگ Reference (Task 4.6.2) فقط Marketing Campaign به‌عنوان Related Transaction ثبت شده؛ ارتباط با Brand Campaign فقط در کاتالوگ تراکنشی آمده و باید دوطرفه تأیید شود. نگاشت از طریق Campaign_ID / Channel_ID در مرجع «نیازمند تأیید» ثبت شده است. Mandatory و چندگانه‌بودن (یک یا چند کانال برای هر کمپین) نامشخص است. | [Merge] Linked: TR-012 (DC-17)؛ DC-24؛ OD-16</t>
  </si>
  <si>
    <t xml:space="preserve">MAP-004</t>
  </si>
  <si>
    <t xml:space="preserve">تعیین مخاطب هدف کمپین برند و تحلیل کمپین‌ها بر اساس مخاطب.</t>
  </si>
  <si>
    <t xml:space="preserve">منبع: Related Reference ردیف Brand Campaign. در کاتالوگ Reference (Task 4.6.2) فقط Marketing Campaign به‌عنوان Related Transaction ثبت شده؛ ارتباط با Brand Campaign فقط در کاتالوگ تراکنشی آمده و باید دوطرفه تأیید شود. تصمیم باز در مرجع: Audience قابل استفاده مجدد است یا مختص کمپین؟ Mandatory نامشخص است. | [Merge] Linked: TR-013 (DC-17)؛ DC-24؛ OD-16</t>
  </si>
  <si>
    <t xml:space="preserve">MAP-005</t>
  </si>
  <si>
    <t xml:space="preserve">انتخاب و ثبت نوع کمپین بازاریابی و تحلیل کمپین‌ها بر اساس نوع.</t>
  </si>
  <si>
    <t xml:space="preserve">هر دو کاتالوگ (تراکنشی و Reference) این ارتباط را ثبت کرده‌اند. فهرست مقادیر مجاز و وضعیت مرجع نهایی Open / To Be Confirmed است. Mandatory نامشخص است. | [Merge] Linked: TR-015 (DC-17)؛ DC-24؛ OD-16</t>
  </si>
  <si>
    <t xml:space="preserve">MAP-006</t>
  </si>
  <si>
    <t xml:space="preserve">انتخاب کانال/رسانه اجرای کمپین بازاریابی و تحلیل عملکرد بر اساس کانال.</t>
  </si>
  <si>
    <t xml:space="preserve">هر دو کاتالوگ این ارتباط را ثبت کرده‌اند؛ اما در مرجع، نگاشت نهایی (Campaign_ID / Channel_ID) «نیازمند تأیید» است. در Channel_ID، Channel_Name و Channel_Type تعارض میان منابع وجود دارد. Mandatory و چندگانه‌بودن نامشخص است. | [Merge] Linked: TR-016 (DC-17)؛ DC-24؛ OD-16</t>
  </si>
  <si>
    <t xml:space="preserve">MAP-007</t>
  </si>
  <si>
    <t xml:space="preserve">هدف‌گذاری کمپین بازاریابی روی گروه مخاطب هدف و تحلیل کمپین‌ها بر اساس مخاطب.</t>
  </si>
  <si>
    <t xml:space="preserve">هر دو کاتالوگ این ارتباط را ثبت کرده‌اند؛ ارتباط دقیق در مرجع «نیازمند تأیید» است. تصمیم باز: Audience مرجع قابل استفاده مجدد است یا مختص کمپین. Mandatory نامشخص است. | [Merge] Linked: TR-017 (DC-17)؛ DC-24؛ OD-16</t>
  </si>
  <si>
    <t xml:space="preserve">Relationship ID</t>
  </si>
  <si>
    <t xml:space="preserve">From Entity</t>
  </si>
  <si>
    <t xml:space="preserve">Relationship Type</t>
  </si>
  <si>
    <t xml:space="preserve">Relationship Verb</t>
  </si>
  <si>
    <t xml:space="preserve">To Entity</t>
  </si>
  <si>
    <t xml:space="preserve">To Entity Class</t>
  </si>
  <si>
    <t xml:space="preserve">Business Meaning</t>
  </si>
  <si>
    <t xml:space="preserve">Cardinality Review</t>
  </si>
  <si>
    <t xml:space="preserve">TR-001</t>
  </si>
  <si>
    <t xml:space="preserve">1:N</t>
  </si>
  <si>
    <t xml:space="preserve">Transactional (Team 2 catalog)</t>
  </si>
  <si>
    <t xml:space="preserve">یک Market Research ممکن است برای جمع‌آوری اطلاعات بازار، از یک یا چند Market Survey استفاده کند.مثلا برای تحقیق بازار ممکن است:
 Survey از مصرف‌کنندگان
Survey از خرده‌فروشان
Survey درباره میزان شناخت برندها انجام شود.</t>
  </si>
  <si>
    <t xml:space="preserve">To be confirmed برای اینکه مشخص کنیم آیا هر Research حتماً حداقل یک Survey دارد؟
ممکن است بعضی Researchها از داده‌های ثانویه، گزارش‌های قبلی، داده‌های فروش یا منابع دیگر استفاده کنند و اصلاً Survey نداشته باشند.</t>
  </si>
  <si>
    <t xml:space="preserve">TR-002</t>
  </si>
  <si>
    <t xml:space="preserve">Market</t>
  </si>
  <si>
    <t xml:space="preserve">Unclassified - Open (OD-04)</t>
  </si>
  <si>
    <t xml:space="preserve">هر رکورد یا مورد از Market Research مربوط به یک Market مشخص است که قرار است مورد بررسی قرار بگیرد.
تحقیق بازار در ارتباط با / درباره‌ی یک بازار مشخص انجام می‌شود.
یک نکته هم وجود دارد این که هر Market Research باید به Market مورد بررسی خود مرتبط باشد، اما مشخص نیست هر Research دقیقاً یک Market دارد یا می‌تواند چند Market داشته باشد. پس ارتباط می تواند ۱ به ۱ هم باشد</t>
  </si>
  <si>
    <t xml:space="preserve">Yes</t>
  </si>
  <si>
    <t xml:space="preserve">Unclear: ثبت‌شده 1:N؛ متن N:1 یا 1:1 یا N:M؟ (OD-20)</t>
  </si>
  <si>
    <t xml:space="preserve">Yes به  این علت که Market Research باید مشخص کند درباره کدام Market انجام شده است. | [Merge Log] DC-19; OD-04, OD-20</t>
  </si>
  <si>
    <t xml:space="preserve">TR-003</t>
  </si>
  <si>
    <t xml:space="preserve">N:1</t>
  </si>
  <si>
    <t xml:space="preserve">Market Research Type</t>
  </si>
  <si>
    <t xml:space="preserve">Unclassified - Open (OD-03)</t>
  </si>
  <si>
    <t xml:space="preserve">هر Market Research بر اساس یک Market Research Type مشخص دسته‌بندی می‌شود.
مثلاً انواع تحقیق بازار در سازمان این‌ها باشند:
Customer Research
Competitor Research
Product Research
Market Size Research
اگر یک Transaction از نوع:
Market Research = بررسی رفتار مشتریان
باشد، می‌تواند به:
Market Research Type = Customer Research
مرتبط شود.
هر Market Research دقیقاً یک Research Type دارد، ولی یک Research Type می‌تواند برای چند Market Research استفاده شود.</t>
  </si>
  <si>
    <t xml:space="preserve">To be confirmed برای اینکه مشخص کنیم آیا هر Market Research حتماً باید یک Market Research Type داشته باشد؟ | [Merge Log] OD-03</t>
  </si>
  <si>
    <t xml:space="preserve">TR-004</t>
  </si>
  <si>
    <t xml:space="preserve">Unclassified - Open (OD-05)</t>
  </si>
  <si>
    <t xml:space="preserve">یک Market Survey برای بررسی یک Market Segment مشخص انجام می‌شود.
مثلاً:
Market Survey: بررسی میزان رضایت مشتریان از یک محصول
Market Segment: جوانان 18 تا 30 سال
یعنی Survey مشخص می‌کند که داده‌ها از کدام Segment جمع‌آوری شده‌اند.
هر Market Survey برای یک Segment مشخص انجام می‌شود، ولی یک Segment می‌تواند در چند Survey مورد بررسی قرار بگیرد.</t>
  </si>
  <si>
    <t xml:space="preserve">Proposed N:1 per Business Meaning - confirm (OD-20)</t>
  </si>
  <si>
    <t xml:space="preserve">[Merge Log] DC-18; OD-05, OD-20</t>
  </si>
  <si>
    <t xml:space="preserve">TR-005</t>
  </si>
  <si>
    <t xml:space="preserve">N:M</t>
  </si>
  <si>
    <t xml:space="preserve">Survey Method</t>
  </si>
  <si>
    <t xml:space="preserve">یک Survey میتواند چند Method داشته باشد، مثلاً هم Online Questionnaire و هم Interview، و هر Method هم در چند Survey استفاده شود، رابطه N:M خواهد بود.</t>
  </si>
  <si>
    <t xml:space="preserve">باید ببینیم چند Survey می‌توانند از یک Method استفاده کنند. | [Merge Log] OD-03</t>
  </si>
  <si>
    <t xml:space="preserve">TR-006</t>
  </si>
  <si>
    <t xml:space="preserve">Product</t>
  </si>
  <si>
    <t xml:space="preserve">Master (documented in Transactional Catalog)</t>
  </si>
  <si>
    <t xml:space="preserve">هر Market Price یک مشاهده/ثبت قیمت از یک Product مشخص است.
رابطه ۱ به چند چون قیمت یک محصول می‌تواند در تاریخ‌ها، بازارها یا مشاهدات مختلف چندین بار ثبت شود.</t>
  </si>
  <si>
    <t xml:space="preserve">TR-007</t>
  </si>
  <si>
    <t xml:space="preserve">Competitor</t>
  </si>
  <si>
    <t xml:space="preserve">یک Market Price ممکن است مشخص کند این قیمت توسط کدام Competitor یا منبع رقیب مشاهده شده است.</t>
  </si>
  <si>
    <t xml:space="preserve">No</t>
  </si>
  <si>
    <t xml:space="preserve">وجود Competitor برای ثبت Market Price اجباری نیست.</t>
  </si>
  <si>
    <t xml:space="preserve">TR-008</t>
  </si>
  <si>
    <t xml:space="preserve">هر Brand Activity مربوط به یک Brand مشخص است؛ یعنی فعالیتی که ثبت شده، برای مدیریت یا اجرای فعالیت‌های همان برند انجام می‌شود.مثلاً Brand Activity می‌تواند فعالیتی مثل اجرای یک برنامه تبلیغاتی یا فعالیت بازاریابی مرتبط با Brand A باشد.</t>
  </si>
  <si>
    <t xml:space="preserve">آیا هر Brand Activity حتماً باید یک Brand داشته باشد؟</t>
  </si>
  <si>
    <t xml:space="preserve">TR-009</t>
  </si>
  <si>
    <t xml:space="preserve">Reference (Team 2 catalog)</t>
  </si>
  <si>
    <t xml:space="preserve">یک Brand Activity ممکن است از یک یا چند Campaign Channel برای اجرا یا ارتباط با مخاطب استفاده کند.
مثلاً:
Brand Activity:
معرفی محصول جدید برند X
Campaign Channel:
Instagram
TV
Website
Email
یعنی فعالیت برند از طریق یک کانال یا چند کانال اجرا می‌شود.</t>
  </si>
  <si>
    <t xml:space="preserve">آیا هر Brand Activity حتماً باید Channel داشته باشد؟
آیا یک Activity می‌تواند چند Channel داشته باشد؟ | [Merge Log] DC-17 (=MAP-001)</t>
  </si>
  <si>
    <t xml:space="preserve">TR-010</t>
  </si>
  <si>
    <t xml:space="preserve">هر Brand Campaign مربوط به یک Brand مشخص است و Campaign برای همان Brand اجرا می‌شود.</t>
  </si>
  <si>
    <t xml:space="preserve">TR-011</t>
  </si>
  <si>
    <t xml:space="preserve">Brand Campaign Type</t>
  </si>
  <si>
    <t xml:space="preserve">Unclassified - Open (OD-06)</t>
  </si>
  <si>
    <t xml:space="preserve">هر Brand Campaign بر اساس یک Campaign Type دسته‌بندی می‌شود.
Brand Campaign = New Product Launch
Brand Campaign Type = Product Launch
پس Brand Campaign Type مشخص می‌کند این Campaign از چه نوعی است.
</t>
  </si>
  <si>
    <t xml:space="preserve">آیا هر Brand Campaign حتماً باید یک Campaign Type داشته باشد؟ | [Merge Log] DC-17 (=MAP-002), DC-18, DC-20; OD-06</t>
  </si>
  <si>
    <t xml:space="preserve">TR-012</t>
  </si>
  <si>
    <t xml:space="preserve">یک Brand Campaign برای اجرا و رساندن پیام Campaign می‌تواند از یک یا چند Campaign Channel استفاده کند.
مثلاً:
Brand Campaign: کمپین تابستانی برند X
ممکن است از این Channelها استفاده کند:
Instagram
TV
Website
Email</t>
  </si>
  <si>
    <t xml:space="preserve">Likely N:M - confirm (OD-20)</t>
  </si>
  <si>
    <t xml:space="preserve">[Merge Log] DC-17 (=MAP-003), DC-19, DC-21; OD-16</t>
  </si>
  <si>
    <t xml:space="preserve">TR-013</t>
  </si>
  <si>
    <t xml:space="preserve">TBC</t>
  </si>
  <si>
    <t xml:space="preserve">Targets</t>
  </si>
  <si>
    <t xml:space="preserve">A Brand Campaign is associated with its intended audience.</t>
  </si>
  <si>
    <t xml:space="preserve">Cardinality TBC (OD-20)</t>
  </si>
  <si>
    <t xml:space="preserve">Explicitly listed under Related Master; business classification should be confirmed. | [Merge Log] DC-17 (=MAP-004), DC-22, DC-23; OD-12</t>
  </si>
  <si>
    <t xml:space="preserve">TR-014</t>
  </si>
  <si>
    <t xml:space="preserve">Associated With</t>
  </si>
  <si>
    <t xml:space="preserve">A Brand Campaign may have associated campaign cost information.</t>
  </si>
  <si>
    <t xml:space="preserve">Source lists Campaign Cost as Related Reference, but Campaign Cost is classified as Transactional in the same transactional catalog. Classification conflict must be resolved. | [Merge Log] DC-11, DC-23; OD-07</t>
  </si>
  <si>
    <t xml:space="preserve">TR-015</t>
  </si>
  <si>
    <t xml:space="preserve">Classified By</t>
  </si>
  <si>
    <t xml:space="preserve">A Marketing Campaign is categorized by its campaign type.</t>
  </si>
  <si>
    <t xml:space="preserve">Explicitly listed as Related Reference in the transactional catalog. | [Merge Log] DC-17 (=MAP-005), DC-23</t>
  </si>
  <si>
    <t xml:space="preserve">TR-016</t>
  </si>
  <si>
    <t xml:space="preserve">Uses</t>
  </si>
  <si>
    <t xml:space="preserve">A Marketing Campaign is executed through defined campaign channels.</t>
  </si>
  <si>
    <t xml:space="preserve">Explicitly listed as Related Reference. | [Merge Log] DC-17 (=MAP-006), DC-23</t>
  </si>
  <si>
    <t xml:space="preserve">TR-017</t>
  </si>
  <si>
    <t xml:space="preserve">A Marketing Campaign is associated with its target audience.</t>
  </si>
  <si>
    <t xml:space="preserve">Explicitly listed as Related Reference; exact cardinality is not stated. | [Merge Log] DC-17 (=MAP-007), DC-23</t>
  </si>
  <si>
    <t xml:space="preserve">TR-018</t>
  </si>
  <si>
    <t xml:space="preserve">Has / Incurs</t>
  </si>
  <si>
    <t xml:space="preserve">A Marketing Campaign has associated campaign cost transactions.</t>
  </si>
  <si>
    <t xml:space="preserve">Inverse pair with TR-020; Cardinality TBC (OD-19, OD-20)</t>
  </si>
  <si>
    <t xml:space="preserve">Explicitly listed as Related Transaction. Campaign Cost also points back to Marketing Campaign. | [Merge Log] DC-15, DC-23</t>
  </si>
  <si>
    <t xml:space="preserve">TR-019</t>
  </si>
  <si>
    <t xml:space="preserve">Uses / Includes</t>
  </si>
  <si>
    <t xml:space="preserve">A Promotion is used/defined in the context of a Marketing Campaign.</t>
  </si>
  <si>
    <t xml:space="preserve">Inverse pair with TR-021; Cardinality TBC (OD-19, OD-20)</t>
  </si>
  <si>
    <t xml:space="preserve">Explicitly listed as Related Transaction. The source does not explicitly state whether every campaign must have a Promotion. | [Merge Log] DC-16, DC-23</t>
  </si>
  <si>
    <t xml:space="preserve">TR-020</t>
  </si>
  <si>
    <t xml:space="preserve">Belongs To / Relates To</t>
  </si>
  <si>
    <t xml:space="preserve">Campaign Cost records are associated with the Marketing Campaign for which the cost is incurred.</t>
  </si>
  <si>
    <t xml:space="preserve">Inverse pair with TR-018; Cardinality TBC (OD-19, OD-20)</t>
  </si>
  <si>
    <t xml:space="preserve">Campaign_ID is explicitly stated as related to Marketing Campaign. | [Merge Log] DC-15, DC-23</t>
  </si>
  <si>
    <t xml:space="preserve">TR-021</t>
  </si>
  <si>
    <t xml:space="preserve">Used In / Defined For</t>
  </si>
  <si>
    <t xml:space="preserve">A Promotion is defined and used in the context of a Marketing Campaign.</t>
  </si>
  <si>
    <t xml:space="preserve">Inverse pair with TR-019; Cardinality TBC (OD-19, OD-20)</t>
  </si>
  <si>
    <t xml:space="preserve">Explicitly listed as Related Transaction; Promotion is a shared entity owned primarily by Team 1. | [Merge Log] DC-16, DC-23</t>
  </si>
  <si>
    <t xml:space="preserve">TR-022</t>
  </si>
  <si>
    <t xml:space="preserve">Applied To</t>
  </si>
  <si>
    <t xml:space="preserve">Sales Order</t>
  </si>
  <si>
    <t xml:space="preserve">Transactional (Team 1)</t>
  </si>
  <si>
    <t xml:space="preserve">A Promotion can be applied when a Sales Order is recorded.</t>
  </si>
  <si>
    <t xml:space="preserve">Explicitly listed as Related Transaction. The source explicitly leaves the application level (order header vs line item) unconfirmed. | [Merge Log] DC-23; OD-18</t>
  </si>
  <si>
    <t xml:space="preserve">Shared ID</t>
  </si>
  <si>
    <t xml:space="preserve">Type</t>
  </si>
  <si>
    <t xml:space="preserve">Primary Owner</t>
  </si>
  <si>
    <t xml:space="preserve">Consumer / Related</t>
  </si>
  <si>
    <t xml:space="preserve">نقش Team 2</t>
  </si>
  <si>
    <t xml:space="preserve">Linked</t>
  </si>
  <si>
    <t xml:space="preserve">SD-01</t>
  </si>
  <si>
    <t xml:space="preserve">Transactional</t>
  </si>
  <si>
    <t xml:space="preserve">Team 2 (Marketing Campaign)</t>
  </si>
  <si>
    <t xml:space="preserve">فقط خاستگاه/منطق بازاریابی؛ اعمال روی Sales Order با Team 1</t>
  </si>
  <si>
    <t xml:space="preserve">Confirmed در منبع</t>
  </si>
  <si>
    <t xml:space="preserve">OD-09, OD-18</t>
  </si>
  <si>
    <t xml:space="preserve">SD-02</t>
  </si>
  <si>
    <t xml:space="preserve">Promotion (TR-022)</t>
  </si>
  <si>
    <t xml:space="preserve">تعریف نمی‌شود؛ فقط ارجاع</t>
  </si>
  <si>
    <t xml:space="preserve">OD-18</t>
  </si>
  <si>
    <t xml:space="preserve">SD-03</t>
  </si>
  <si>
    <t xml:space="preserve">Sales/Contract/Invoice Item (Team 1)، از طریق Product</t>
  </si>
  <si>
    <t xml:space="preserve">مصرف غیرمستقیم؛ تراکنش مستقیم Team 2 ندارد</t>
  </si>
  <si>
    <t xml:space="preserve">نیازمند تأیید با Team 1</t>
  </si>
  <si>
    <t xml:space="preserve">OD-21, OD-22</t>
  </si>
  <si>
    <t xml:space="preserve">SD-04</t>
  </si>
  <si>
    <t xml:space="preserve">مانند SD-03</t>
  </si>
  <si>
    <t xml:space="preserve">SD-05</t>
  </si>
  <si>
    <t xml:space="preserve">تراکنش‌های فروش Team 1 (از طریق SKU)</t>
  </si>
  <si>
    <t xml:space="preserve">مصرف غیرمستقیم</t>
  </si>
  <si>
    <t xml:space="preserve">OD-22, OD-23</t>
  </si>
  <si>
    <t xml:space="preserve">SD-06</t>
  </si>
  <si>
    <t xml:space="preserve">تراکنش‌های Team 1 (از طریق SKU/Product)</t>
  </si>
  <si>
    <t xml:space="preserve">SD-07</t>
  </si>
  <si>
    <t xml:space="preserve">Product &amp; Marketing (تصمیم‌گیر: فروش/قیمت‌گذاری)</t>
  </si>
  <si>
    <t xml:space="preserve">Sales/Contract/Invoice Item، Order_Line_Item (Team 1)</t>
  </si>
  <si>
    <t xml:space="preserve">OD-22, OD-24</t>
  </si>
  <si>
    <t xml:space="preserve">SD-08</t>
  </si>
  <si>
    <t xml:space="preserve">Product (Master)</t>
  </si>
  <si>
    <t xml:space="preserve">Master</t>
  </si>
  <si>
    <t xml:space="preserve">Market Price (TR-006)، Referenceهای محصول</t>
  </si>
  <si>
    <t xml:space="preserve">ارجاع از Market Price</t>
  </si>
  <si>
    <t xml:space="preserve">Candidate؛ مالک مشخص نیست</t>
  </si>
  <si>
    <t xml:space="preserve">OD-14</t>
  </si>
  <si>
    <t xml:space="preserve">SD-09</t>
  </si>
  <si>
    <t xml:space="preserve">Brand (Master)</t>
  </si>
  <si>
    <t xml:space="preserve">Brand Activity، Brand Campaign</t>
  </si>
  <si>
    <t xml:space="preserve">ارجاع</t>
  </si>
  <si>
    <t xml:space="preserve">SD-10</t>
  </si>
  <si>
    <t xml:space="preserve">Competitor (Master)</t>
  </si>
  <si>
    <t xml:space="preserve">Market Price (TR-007)</t>
  </si>
  <si>
    <t xml:space="preserve">SD-11</t>
  </si>
  <si>
    <t xml:space="preserve">Market / Market Segment</t>
  </si>
  <si>
    <t xml:space="preserve">نامشخص</t>
  </si>
  <si>
    <t xml:space="preserve">Market Research / Survey</t>
  </si>
  <si>
    <t xml:space="preserve">ارجاع؛ در هیچ کاتالوگ نیست</t>
  </si>
  <si>
    <t xml:space="preserve">Candidate؛ طبقه‌بندی باز</t>
  </si>
  <si>
    <t xml:space="preserve">OD-04, OD-05</t>
  </si>
  <si>
    <t xml:space="preserve">SD-12</t>
  </si>
  <si>
    <t xml:space="preserve">احتمالاً Promotion (Eligibility_Rule)</t>
  </si>
  <si>
    <t xml:space="preserve">مالک</t>
  </si>
  <si>
    <t xml:space="preserve">رابطه تأییدنشده</t>
  </si>
  <si>
    <t xml:space="preserve">OD-12</t>
  </si>
  <si>
    <t xml:space="preserve">SD-13</t>
  </si>
  <si>
    <t xml:space="preserve">Finance</t>
  </si>
  <si>
    <t xml:space="preserve">مالک مشترک؟</t>
  </si>
  <si>
    <t xml:space="preserve">Candidate؛ تفکیک مالکیت باز</t>
  </si>
  <si>
    <t xml:space="preserve">OD-07, OD-15</t>
  </si>
  <si>
    <t xml:space="preserve">SD-14</t>
  </si>
  <si>
    <t xml:space="preserve">Sales</t>
  </si>
  <si>
    <t xml:space="preserve">OD-15</t>
  </si>
  <si>
    <t xml:space="preserve">Log ID</t>
  </si>
  <si>
    <t xml:space="preserve">موضوع</t>
  </si>
  <si>
    <t xml:space="preserve">منبع A</t>
  </si>
  <si>
    <t xml:space="preserve">منبع B</t>
  </si>
  <si>
    <t xml:space="preserve">شرح</t>
  </si>
  <si>
    <t xml:space="preserve">Resolution</t>
  </si>
  <si>
    <t xml:space="preserve">Linked OD</t>
  </si>
  <si>
    <t xml:space="preserve">DC-01</t>
  </si>
  <si>
    <t xml:space="preserve">Duplicate (دو نسخه)</t>
  </si>
  <si>
    <t xml:space="preserve">Market Research / Survey / Price</t>
  </si>
  <si>
    <t xml:space="preserve">فایل 06</t>
  </si>
  <si>
    <t xml:space="preserve">4-6market</t>
  </si>
  <si>
    <t xml:space="preserve">سه Entity در دو منبع با مقادیر متفاوت؛ نسخه مرجع مشخص نیست</t>
  </si>
  <si>
    <t xml:space="preserve">Open (هیچ‌چیز حذف نشده)</t>
  </si>
  <si>
    <t xml:space="preserve">OD-01</t>
  </si>
  <si>
    <t xml:space="preserve">DC-02</t>
  </si>
  <si>
    <t xml:space="preserve">Definition Conflict</t>
  </si>
  <si>
    <t xml:space="preserve">Market Research: Related Transaction</t>
  </si>
  <si>
    <t xml:space="preserve">Research Result</t>
  </si>
  <si>
    <t xml:space="preserve">Research Result در لیست ۸ Transaction نیست</t>
  </si>
  <si>
    <t xml:space="preserve">OD-02</t>
  </si>
  <si>
    <t xml:space="preserve">DC-03</t>
  </si>
  <si>
    <t xml:space="preserve">Market Research: Master / Reference</t>
  </si>
  <si>
    <t xml:space="preserve">«—» / «—»</t>
  </si>
  <si>
    <t xml:space="preserve">Market / Market Research Type</t>
  </si>
  <si>
    <t xml:space="preserve">رابطه‌ها فقط در یک منبع آمده</t>
  </si>
  <si>
    <t xml:space="preserve">OD-03, OD-04</t>
  </si>
  <si>
    <t xml:space="preserve">DC-04</t>
  </si>
  <si>
    <t xml:space="preserve">Market Survey: Reference</t>
  </si>
  <si>
    <t xml:space="preserve">Survey Method (+ Market/Customer Segment به‌عنوان Master)</t>
  </si>
  <si>
    <t xml:space="preserve">دو منبع دو Reference متفاوت ثبت کرده‌اند</t>
  </si>
  <si>
    <t xml:space="preserve">OD-03, OD-05</t>
  </si>
  <si>
    <t xml:space="preserve">DC-05</t>
  </si>
  <si>
    <t xml:space="preserve">Classification Conflict</t>
  </si>
  <si>
    <t xml:space="preserve">Master (Research و Survey در 4-6market)</t>
  </si>
  <si>
    <t xml:space="preserve">Reference (Market Price در 4-6market)</t>
  </si>
  <si>
    <t xml:space="preserve">تناقض داخل یک فایل</t>
  </si>
  <si>
    <t xml:space="preserve">OD-04</t>
  </si>
  <si>
    <t xml:space="preserve">DC-06</t>
  </si>
  <si>
    <t xml:space="preserve">«فعالیت/ابزار Survey» (06)</t>
  </si>
  <si>
    <t xml:space="preserve">«اجرای Survey» (4-6market)؛ Notes: ابزار/روش</t>
  </si>
  <si>
    <t xml:space="preserve">فعالیت در برابر ابزار؛ Survey Method جداست</t>
  </si>
  <si>
    <t xml:space="preserve">DC-07</t>
  </si>
  <si>
    <t xml:space="preserve">ستون Status</t>
  </si>
  <si>
    <t xml:space="preserve">نام Attribute (مثلاً Research_Status)</t>
  </si>
  <si>
    <t xml:space="preserve">مقدار «Active»</t>
  </si>
  <si>
    <t xml:space="preserve">دو معنای متفاوت؛ Market Price و Campaign Cost «—» در 06؛ Market Price «Active» در 4-6market</t>
  </si>
  <si>
    <t xml:space="preserve">OD-27</t>
  </si>
  <si>
    <t xml:space="preserve">DC-08</t>
  </si>
  <si>
    <t xml:space="preserve">Naming Conflict</t>
  </si>
  <si>
    <t xml:space="preserve">Transaction Type / Related Process</t>
  </si>
  <si>
    <t xml:space="preserve">Research Activity، Survey Activity، Price Observation؛ Market Research</t>
  </si>
  <si>
    <t xml:space="preserve">Market Research/Survey/Price Activity/Observation؛ Market Research Management</t>
  </si>
  <si>
    <t xml:space="preserve">پیشوند «Market» و «Management» فرق دارد</t>
  </si>
  <si>
    <t xml:space="preserve">DC-09</t>
  </si>
  <si>
    <t xml:space="preserve">Start_Date / End_Date، Survey_Date، Price_Date</t>
  </si>
  <si>
    <t xml:space="preserve">Research Start Date / TBC، Survey Date، Price Date</t>
  </si>
  <si>
    <t xml:space="preserve">Underscore در برابر فاصله؛ تاریخ پایان Research در 4-6market TBC</t>
  </si>
  <si>
    <t xml:space="preserve">OD-28</t>
  </si>
  <si>
    <t xml:space="preserve">DC-10</t>
  </si>
  <si>
    <t xml:space="preserve">Overlap</t>
  </si>
  <si>
    <t xml:space="preserve">Attribute در Brand Campaign</t>
  </si>
  <si>
    <t xml:space="preserve">Entity مستقل Campaign Cost (مرتبط فقط با Marketing Campaign)</t>
  </si>
  <si>
    <t xml:space="preserve">ریسک دوباره‌شماری</t>
  </si>
  <si>
    <t xml:space="preserve">OD-07</t>
  </si>
  <si>
    <t xml:space="preserve">DC-11</t>
  </si>
  <si>
    <t xml:space="preserve">Campaign Cost: Reference یا Transaction</t>
  </si>
  <si>
    <t xml:space="preserve">TR-014: Related Reference</t>
  </si>
  <si>
    <t xml:space="preserve">کاتالوگ 06: Related Transaction</t>
  </si>
  <si>
    <t xml:space="preserve">یادداشت TR-014 با کاتالوگ نمی‌خواند</t>
  </si>
  <si>
    <t xml:space="preserve">DC-12</t>
  </si>
  <si>
    <t xml:space="preserve">Brand Campaign ↔ Marketing Campaign</t>
  </si>
  <si>
    <t xml:space="preserve">هر دو دارای Type/Channel/Audience/Cost</t>
  </si>
  <si>
    <t xml:space="preserve">ارتباط یا تخصص‌بودن مشخص نیست</t>
  </si>
  <si>
    <t xml:space="preserve">OD-13</t>
  </si>
  <si>
    <t xml:space="preserve">DC-13</t>
  </si>
  <si>
    <t xml:space="preserve">Brand Activity ↔ Brand Campaign</t>
  </si>
  <si>
    <t xml:space="preserve">فقط Brand مشترک</t>
  </si>
  <si>
    <t xml:space="preserve">رابطه قطعی فرض نشد</t>
  </si>
  <si>
    <t xml:space="preserve">DC-14</t>
  </si>
  <si>
    <t xml:space="preserve">Marketing Campaign و Market Research</t>
  </si>
  <si>
    <t xml:space="preserve">Entity: Transactional (4.1)</t>
  </si>
  <si>
    <t xml:space="preserve">Attributeها: Planning/Reference (Stage 05)</t>
  </si>
  <si>
    <t xml:space="preserve">تعارض حفظ شد</t>
  </si>
  <si>
    <t xml:space="preserve">OD-10</t>
  </si>
  <si>
    <t xml:space="preserve">DC-15</t>
  </si>
  <si>
    <t xml:space="preserve">Duplicate (معکوس)</t>
  </si>
  <si>
    <t xml:space="preserve">TR-018 ↔ TR-020</t>
  </si>
  <si>
    <t xml:space="preserve">Marketing Campaign → Campaign Cost</t>
  </si>
  <si>
    <t xml:space="preserve">Campaign Cost → Marketing Campaign</t>
  </si>
  <si>
    <t xml:space="preserve">یک رابطه در دو جهت</t>
  </si>
  <si>
    <t xml:space="preserve">OD-19</t>
  </si>
  <si>
    <t xml:space="preserve">DC-16</t>
  </si>
  <si>
    <t xml:space="preserve">TR-019 ↔ TR-021</t>
  </si>
  <si>
    <t xml:space="preserve">Marketing Campaign → Promotion</t>
  </si>
  <si>
    <t xml:space="preserve">Promotion → Marketing Campaign</t>
  </si>
  <si>
    <t xml:space="preserve">یک رابطه در دو جهت؛ عبارت‌ها یکی نیست</t>
  </si>
  <si>
    <t xml:space="preserve">DC-17</t>
  </si>
  <si>
    <t xml:space="preserve">Relationships ↔ Mapping</t>
  </si>
  <si>
    <t xml:space="preserve">TR-009/011/012/013/015/016/017</t>
  </si>
  <si>
    <t xml:space="preserve">MAP-001 تا MAP-007 (به همین ترتیب)</t>
  </si>
  <si>
    <t xml:space="preserve">هفت جفت دوباره‌ثبت‌شده</t>
  </si>
  <si>
    <t xml:space="preserve">OD-17</t>
  </si>
  <si>
    <t xml:space="preserve">DC-18</t>
  </si>
  <si>
    <t xml:space="preserve">Cardinality Conflict</t>
  </si>
  <si>
    <t xml:space="preserve">TR-004 و TR-011</t>
  </si>
  <si>
    <t xml:space="preserve">نوع ثبت‌شده: 1:N</t>
  </si>
  <si>
    <t xml:space="preserve">متن: N:1</t>
  </si>
  <si>
    <t xml:space="preserve">جهت با Business Meaning نمی‌خواند</t>
  </si>
  <si>
    <t xml:space="preserve">OD-20</t>
  </si>
  <si>
    <t xml:space="preserve">DC-19</t>
  </si>
  <si>
    <t xml:space="preserve">TR-002 و TR-012</t>
  </si>
  <si>
    <t xml:space="preserve">TR-002: 1:N</t>
  </si>
  <si>
    <t xml:space="preserve">متن: یک Market (N:1 یا 1:1)؛ TR-012: «یک یا چند Channel» (احتمالاً N:M)</t>
  </si>
  <si>
    <t xml:space="preserve">نیازمند تعیین</t>
  </si>
  <si>
    <t xml:space="preserve">DC-20</t>
  </si>
  <si>
    <t xml:space="preserve">Campaign Type (Reference تأییدشده)</t>
  </si>
  <si>
    <t xml:space="preserve">Entity تأییدنشده؛ Mapping به Campaign Type ثبت شده</t>
  </si>
  <si>
    <t xml:space="preserve">OD-06</t>
  </si>
  <si>
    <t xml:space="preserve">DC-21</t>
  </si>
  <si>
    <t xml:space="preserve">Mandatory</t>
  </si>
  <si>
    <t xml:space="preserve">TR-012: Yes</t>
  </si>
  <si>
    <t xml:space="preserve">MAP-003: To Be Confirmed</t>
  </si>
  <si>
    <t xml:space="preserve">همان رابطه، دو مقدار</t>
  </si>
  <si>
    <t xml:space="preserve">OD-16</t>
  </si>
  <si>
    <t xml:space="preserve">DC-22</t>
  </si>
  <si>
    <t xml:space="preserve">یادداشت TR-013</t>
  </si>
  <si>
    <t xml:space="preserve">«Related Master»</t>
  </si>
  <si>
    <t xml:space="preserve">کاتالوگ 06 و Task 4.6.2: Reference</t>
  </si>
  <si>
    <t xml:space="preserve">طبقه‌بندی Campaign Audience</t>
  </si>
  <si>
    <t xml:space="preserve">DC-23</t>
  </si>
  <si>
    <t xml:space="preserve">Format Conflict</t>
  </si>
  <si>
    <t xml:space="preserve">ستون Relationship Type</t>
  </si>
  <si>
    <t xml:space="preserve">TR-001 تا 012: Cardinality</t>
  </si>
  <si>
    <t xml:space="preserve">TR-013 تا 022: فعل (Targets, Uses…)</t>
  </si>
  <si>
    <t xml:space="preserve">بدون Cardinality؛ زبان ردیف‌ها هم ترکیبی</t>
  </si>
  <si>
    <t xml:space="preserve">DC-24</t>
  </si>
  <si>
    <t xml:space="preserve">One-sided</t>
  </si>
  <si>
    <t xml:space="preserve">Related Transactions در Reference Catalog</t>
  </si>
  <si>
    <t xml:space="preserve">فقط Marketing Campaign</t>
  </si>
  <si>
    <t xml:space="preserve">Brand Campaign / Brand Activity فقط در کاتالوگ تراکنشی</t>
  </si>
  <si>
    <t xml:space="preserve">تأیید دوطرفه نشده</t>
  </si>
  <si>
    <t xml:space="preserve">DC-25</t>
  </si>
  <si>
    <t xml:space="preserve">کلیدهای Reference</t>
  </si>
  <si>
    <t xml:space="preserve">Channel_ID، Product_Category_ID، Subcategory_ID</t>
  </si>
  <si>
    <t xml:space="preserve">ChannelID، CategoryID، SubcategoryID؛ Audience F6/F7</t>
  </si>
  <si>
    <t xml:space="preserve">تعارض نام‌گذاری در Stage 05</t>
  </si>
  <si>
    <t xml:space="preserve">OD-25</t>
  </si>
  <si>
    <t xml:space="preserve">DC-26</t>
  </si>
  <si>
    <t xml:space="preserve">املا</t>
  </si>
  <si>
    <t xml:space="preserve">Unit of Measure</t>
  </si>
  <si>
    <t xml:space="preserve">یکدست‌سازی نشده</t>
  </si>
  <si>
    <t xml:space="preserve">OD-23</t>
  </si>
  <si>
    <t xml:space="preserve">DC-27</t>
  </si>
  <si>
    <t xml:space="preserve">Product Category ↔ Subcategory</t>
  </si>
  <si>
    <t xml:space="preserve">Entity جدا</t>
  </si>
  <si>
    <t xml:space="preserve">درخت خودارجاع</t>
  </si>
  <si>
    <t xml:space="preserve">در مدل درختی Subcategory زائد می‌شود</t>
  </si>
  <si>
    <t xml:space="preserve">OD-21</t>
  </si>
  <si>
    <t xml:space="preserve">DC-28</t>
  </si>
  <si>
    <t xml:space="preserve">Product Price ↔ Base_Price روی Product</t>
  </si>
  <si>
    <t xml:space="preserve">منبع اصلی قیمت</t>
  </si>
  <si>
    <t xml:space="preserve">مقدار جاری/حذف</t>
  </si>
  <si>
    <t xml:space="preserve">تصمیم نهایی نشده</t>
  </si>
  <si>
    <t xml:space="preserve">OD-24</t>
  </si>
  <si>
    <t xml:space="preserve">DC-29</t>
  </si>
  <si>
    <t xml:space="preserve">Naming (مشابه)</t>
  </si>
  <si>
    <t xml:space="preserve">Market Price ↔ Product Price</t>
  </si>
  <si>
    <t xml:space="preserve">قیمت مشاهده‌شده بازار</t>
  </si>
  <si>
    <t xml:space="preserve">قیمت فروش داخلی</t>
  </si>
  <si>
    <t xml:space="preserve">یکی نیستند؛ نگاشت نشد</t>
  </si>
  <si>
    <t xml:space="preserve">OD-26</t>
  </si>
  <si>
    <t xml:space="preserve">DC-30</t>
  </si>
  <si>
    <t xml:space="preserve">Marketing؛ Marketing / Sales؛ Marketing / Finance</t>
  </si>
  <si>
    <t xml:space="preserve">Product &amp; Marketing؛ Team 1؛ TBC</t>
  </si>
  <si>
    <t xml:space="preserve">Campaign Type «Marketing» ولی Channel/Audience «Product &amp; Marketing»</t>
  </si>
  <si>
    <t xml:space="preserve">DC-31</t>
  </si>
  <si>
    <t xml:space="preserve">نام حوزه Team 2</t>
  </si>
  <si>
    <t xml:space="preserve">Product Marketing</t>
  </si>
  <si>
    <t xml:space="preserve">Campaign &amp; Advertising</t>
  </si>
  <si>
    <t xml:space="preserve">سه نام برای یک حوزه</t>
  </si>
  <si>
    <t xml:space="preserve">DC-32</t>
  </si>
  <si>
    <t xml:space="preserve">Placeholder</t>
  </si>
  <si>
    <t xml:space="preserve">«—»</t>
  </si>
  <si>
    <t xml:space="preserve">«To Be Confirmed» / «Open / To Be Confirmed»</t>
  </si>
  <si>
    <t xml:space="preserve">«—» یعنی «ندارد» یا «نامشخص»؟</t>
  </si>
  <si>
    <t xml:space="preserve">OD-29</t>
  </si>
  <si>
    <t xml:space="preserve">DC-33</t>
  </si>
  <si>
    <t xml:space="preserve">Promotion: فایل 06 ↔ Campaign Catalog</t>
  </si>
  <si>
    <t xml:space="preserve">Type: Definition/Activation؛ ۳ Event؛ Reference «—»؛ Master «—»</t>
  </si>
  <si>
    <t xml:space="preserve">Type: Create/Update/Status Change؛ ۶ Event؛ ۳ فهرست مرجع؛ Master TBC</t>
  </si>
  <si>
    <t xml:space="preserve">فایل 06 اطلاعات کمتری دارد</t>
  </si>
  <si>
    <t xml:space="preserve">DC-34</t>
  </si>
  <si>
    <t xml:space="preserve">Missing</t>
  </si>
  <si>
    <t xml:space="preserve">روابط ثبت‌نشده</t>
  </si>
  <si>
    <t xml:space="preserve">Market Price → Market (در Grain آمده)؛ Campaign Cost → Brand Campaign؛ Market Research → Research Result</t>
  </si>
  <si>
    <t xml:space="preserve">هیچ ردیف TR ندارند</t>
  </si>
  <si>
    <t xml:space="preserve">DC-35</t>
  </si>
  <si>
    <t xml:space="preserve">Status در Reference Catalog</t>
  </si>
  <si>
    <t xml:space="preserve">Open / Defined = وضعیت تعریف/تأیید Entity</t>
  </si>
  <si>
    <t xml:space="preserve">Status در Transactional Catalog = نام Attribute (Business Lifecycle)</t>
  </si>
  <si>
    <t xml:space="preserve">دو مفهوم متفاوت از Status در دو Catalog</t>
  </si>
  <si>
    <t xml:space="preserve">OD ID</t>
  </si>
  <si>
    <t xml:space="preserve">تصمیم باز</t>
  </si>
  <si>
    <t xml:space="preserve">Affected</t>
  </si>
  <si>
    <t xml:space="preserve">تصمیم از</t>
  </si>
  <si>
    <t xml:space="preserve">منبع</t>
  </si>
  <si>
    <t xml:space="preserve">نسخه مرجع Market</t>
  </si>
  <si>
    <t xml:space="preserve">کدام نسخه (06 یا 4-6market) مرجع است؟</t>
  </si>
  <si>
    <t xml:space="preserve">Market Research/Survey/Price</t>
  </si>
  <si>
    <t xml:space="preserve">Task Owner / Marketing</t>
  </si>
  <si>
    <t xml:space="preserve">DC-01, DC-06, DC-08, OI-10</t>
  </si>
  <si>
    <t xml:space="preserve">Open</t>
  </si>
  <si>
    <t xml:space="preserve">آیا در Final Entity Catalog هست و چه رابطه‌ای با Market Research دارد؟</t>
  </si>
  <si>
    <t xml:space="preserve">Data Governance</t>
  </si>
  <si>
    <t xml:space="preserve">OD-03</t>
  </si>
  <si>
    <t xml:space="preserve">Market Research Type و Survey Method</t>
  </si>
  <si>
    <t xml:space="preserve">آیا Reference تأییدشده‌اند؟</t>
  </si>
  <si>
    <t xml:space="preserve">TR-003, TR-005</t>
  </si>
  <si>
    <t xml:space="preserve">Marketing / Data Governance</t>
  </si>
  <si>
    <t xml:space="preserve">OI-01, OI-02, DC-03, DC-04</t>
  </si>
  <si>
    <t xml:space="preserve">Master یا Reference؟ در Final Catalog هست؟</t>
  </si>
  <si>
    <t xml:space="preserve">TR-002, Market Price</t>
  </si>
  <si>
    <t xml:space="preserve">OI-03, DC-03, DC-05</t>
  </si>
  <si>
    <t xml:space="preserve">OD-05</t>
  </si>
  <si>
    <t xml:space="preserve">Market Segment / Customer Segment</t>
  </si>
  <si>
    <t xml:space="preserve">یک Entity یا دو؟ طبقه‌بندی؟</t>
  </si>
  <si>
    <t xml:space="preserve">TR-004, Market Survey</t>
  </si>
  <si>
    <t xml:space="preserve">OI-02, DC-04</t>
  </si>
  <si>
    <t xml:space="preserve">همان Campaign Type است؟</t>
  </si>
  <si>
    <t xml:space="preserve">TR-011, MAP-002</t>
  </si>
  <si>
    <t xml:space="preserve">Transactional یا Reference؟ پوشش هزینه Brand Campaign؟ قاعده ضد دوباره‌شماری؟</t>
  </si>
  <si>
    <t xml:space="preserve">Brand Campaign, Campaign Cost</t>
  </si>
  <si>
    <t xml:space="preserve">DC-10, DC-11</t>
  </si>
  <si>
    <t xml:space="preserve">OD-08</t>
  </si>
  <si>
    <t xml:space="preserve">Status برای Market Price و Campaign Cost</t>
  </si>
  <si>
    <t xml:space="preserve">در Stage 05 تعریف نشده؛ آیا لازم است؟ (حدس زده نشد)</t>
  </si>
  <si>
    <t xml:space="preserve">دو Entity</t>
  </si>
  <si>
    <t xml:space="preserve">OD-09</t>
  </si>
  <si>
    <t xml:space="preserve">طبقه‌بندی Promotion</t>
  </si>
  <si>
    <t xml:space="preserve">Grain «یک تعریف» است؛ آیا Transactional درست است؟</t>
  </si>
  <si>
    <t xml:space="preserve">تعارض طبقه‌بندی Planning/Reference</t>
  </si>
  <si>
    <t xml:space="preserve">OD-11</t>
  </si>
  <si>
    <t xml:space="preserve">فهرست مقادیر Promotion_Type، Discount_Type، Promotion_Status (و Campaign_Status)</t>
  </si>
  <si>
    <t xml:space="preserve">Entity مرجع کدام است؟</t>
  </si>
  <si>
    <t xml:space="preserve">Promotion, Marketing Campaign</t>
  </si>
  <si>
    <t xml:space="preserve">OI-05</t>
  </si>
  <si>
    <t xml:space="preserve">قابل‌استفاده‌مجدد یا مختص کمپین؟ Master/Reference؟ ارتباط Eligibility_Rule؟</t>
  </si>
  <si>
    <t xml:space="preserve">MAP-004/007, TR-013</t>
  </si>
  <si>
    <t xml:space="preserve">Team 1 / Marketing</t>
  </si>
  <si>
    <t xml:space="preserve">OI-06, DC-22</t>
  </si>
  <si>
    <t xml:space="preserve">Brand Campaign ↔ Marketing Campaign / Brand Activity</t>
  </si>
  <si>
    <t xml:space="preserve">رابطه یا تخصص؟</t>
  </si>
  <si>
    <t xml:space="preserve">سه Entity</t>
  </si>
  <si>
    <t xml:space="preserve">DC-12, DC-13</t>
  </si>
  <si>
    <t xml:space="preserve">Masterها (Product, Brand, Competitor)</t>
  </si>
  <si>
    <t xml:space="preserve">مالک و جایگاه در Shared؛ Master تأییدشده؟</t>
  </si>
  <si>
    <t xml:space="preserve">SD-08..SD-10</t>
  </si>
  <si>
    <t xml:space="preserve">Owner و System</t>
  </si>
  <si>
    <t xml:space="preserve">Owner Brand Activity/Campaign (TBC)؛ تفکیک Marketing/Sales و Marketing/Finance؛ نام حوزه Team 2؛ سیستم‌های TBC</t>
  </si>
  <si>
    <t xml:space="preserve">چند Entity</t>
  </si>
  <si>
    <t xml:space="preserve">Marketing / Task Owner</t>
  </si>
  <si>
    <t xml:space="preserve">DC-30, DC-31</t>
  </si>
  <si>
    <t xml:space="preserve">Mandatory و تأیید دوطرفه</t>
  </si>
  <si>
    <t xml:space="preserve">Mandatory هر ۷ نگاشت؛ تعارض TR-012؛ Related Transactions در Reference Catalog</t>
  </si>
  <si>
    <t xml:space="preserve">MAP-001..007</t>
  </si>
  <si>
    <t xml:space="preserve">OI-08, OI-09, DC-21, DC-24</t>
  </si>
  <si>
    <t xml:space="preserve">Overlap Relationships ↔ Mapping</t>
  </si>
  <si>
    <t xml:space="preserve">ثبت در یک شیت یا هر دو؟</t>
  </si>
  <si>
    <t xml:space="preserve">شیت‌های ۳ و ۴</t>
  </si>
  <si>
    <t xml:space="preserve">Task Owner</t>
  </si>
  <si>
    <t xml:space="preserve">Promotion (جزئیات)</t>
  </si>
  <si>
    <t xml:space="preserve">سطح اعمال روی Sales Order؛ Valid_To اختیاری؟ Business Date؛ Transaction Type و Event؛ Master؛ سیستم</t>
  </si>
  <si>
    <t xml:space="preserve">Promotion, TR-022</t>
  </si>
  <si>
    <t xml:space="preserve">جفت‌های معکوس</t>
  </si>
  <si>
    <t xml:space="preserve">یک ردیف یا دو؟ (فعلاً هر دو حفظ شده)</t>
  </si>
  <si>
    <t xml:space="preserve">TR-018..TR-021</t>
  </si>
  <si>
    <t xml:space="preserve">DC-15, DC-16</t>
  </si>
  <si>
    <t xml:space="preserve">Cardinality و روابط جاافتاده</t>
  </si>
  <si>
    <t xml:space="preserve">جهت TR-002/004/011؛ TR-012؛ Cardinality ردیف‌های TR-013 تا 022؛ افزودن Market Price → Market؟</t>
  </si>
  <si>
    <t xml:space="preserve">Transaction Relationships</t>
  </si>
  <si>
    <t xml:space="preserve">DC-18, DC-19, DC-23, DC-34</t>
  </si>
  <si>
    <t xml:space="preserve">مدل سلسله‌مراتب دسته‌بندی</t>
  </si>
  <si>
    <t xml:space="preserve">Entity جدا یا درخت خودارجاع</t>
  </si>
  <si>
    <t xml:space="preserve">Category, Subcategory</t>
  </si>
  <si>
    <t xml:space="preserve">Product Management</t>
  </si>
  <si>
    <t xml:space="preserve">OI-07, DC-27</t>
  </si>
  <si>
    <t xml:space="preserve">OD-22</t>
  </si>
  <si>
    <t xml:space="preserve">استفاده Team 1 از Referenceهای محصول</t>
  </si>
  <si>
    <t xml:space="preserve">تأیید در Merge با Team 1</t>
  </si>
  <si>
    <t xml:space="preserve">SD-03..SD-07</t>
  </si>
  <si>
    <t xml:space="preserve">Team 1 / Product Management</t>
  </si>
  <si>
    <t xml:space="preserve">OI-07</t>
  </si>
  <si>
    <t xml:space="preserve">Package و UOM</t>
  </si>
  <si>
    <t xml:space="preserve">وزن بسته‌بندی؛ واحد پایه؛ املای نام</t>
  </si>
  <si>
    <t xml:space="preserve">Package, UOM</t>
  </si>
  <si>
    <t xml:space="preserve">منبع اصلی قیمت؟ Base_Price حذف یا مقدار جاری؟ Status؟</t>
  </si>
  <si>
    <t xml:space="preserve">Sales / Pricing</t>
  </si>
  <si>
    <t xml:space="preserve">کلیدها و فرمت Reference</t>
  </si>
  <si>
    <t xml:space="preserve">Channel_ID/ChannelID و…؛ نوع داده؛ طول؛ چندزبانه؛ فهرست مقادیر</t>
  </si>
  <si>
    <t xml:space="preserve">Referenceها</t>
  </si>
  <si>
    <t xml:space="preserve">آیا رابطه (مقایسه) لازم است؟ (فعلاً نگاشت نشد)</t>
  </si>
  <si>
    <t xml:space="preserve">OI-04, DC-29</t>
  </si>
  <si>
    <t xml:space="preserve">معنای ستون Status</t>
  </si>
  <si>
    <t xml:space="preserve">Transactional Catalog: نام Attribute یا مقدار Status؟ Reference Catalog: وضعیت تعریف/تأیید Entity یا Business Lifecycle Status؟ (فعلاً حدس زده نشد)</t>
  </si>
  <si>
    <t xml:space="preserve">Transactional و Reference Catalog</t>
  </si>
  <si>
    <t xml:space="preserve">DC-07, DC-35</t>
  </si>
  <si>
    <t xml:space="preserve">تاریخ پایان Market Research؛ قالب نام‌گذاری</t>
  </si>
  <si>
    <t xml:space="preserve">استاندارد Placeholder</t>
  </si>
  <si>
    <t xml:space="preserve">معنی «—» در برابر TBC</t>
  </si>
  <si>
    <t xml:space="preserve">همه شیت‌ها</t>
  </si>
  <si>
    <t xml:space="preserve">OD-30</t>
  </si>
  <si>
    <t xml:space="preserve">دامنه «Product-Brand»</t>
  </si>
  <si>
    <t xml:space="preserve">فایل Reference فقط Product دارد؛ Reference مرتبط با Brand انتظار می‌رود؟</t>
  </si>
  <si>
    <t xml:space="preserve">Reference Catalog</t>
  </si>
  <si>
    <t xml:space="preserve">OD-31</t>
  </si>
  <si>
    <t xml:space="preserve">Mappingهای ایجادنشده</t>
  </si>
  <si>
    <t xml:space="preserve">Mapping برای Market Research (Market Research Type)، Market Survey (Market Segment / Survey Method)، Market Price (Market)، Promotion (Promotion_Type, Discount_Type, Promotion_Status؛ Eligibility_Rule↔Audience) و Campaign Cost ایجاد نشد چون Reference مربوطه در Final Entity Catalog تأیید نشده؛ بعد از دریافت Final Entity Catalog بازبینی شود</t>
  </si>
  <si>
    <t xml:space="preserve">Reference-Transaction Mapping</t>
  </si>
  <si>
    <t xml:space="preserve">Data Governance / Task Owner</t>
  </si>
  <si>
    <t xml:space="preserve">OI-01..OI-06, OD-03, OD-04, OD-05, OD-11, OD-12</t>
  </si>
  <si>
    <t xml:space="preserve">OD-32</t>
  </si>
  <si>
    <t xml:space="preserve">تطبیق با Final Entity Catalog</t>
  </si>
  <si>
    <t xml:space="preserve">هر ۱۶ Entity (۸ Transactional + ۸ Reference) باید در Final Entity Catalog وجود داشته باشد؛ شامل تأیید اینکه Market Research/Survey/Price در Scope Team 2 هستند</t>
  </si>
  <si>
    <t xml:space="preserve">Validation</t>
  </si>
  <si>
    <t xml:space="preserve">#</t>
  </si>
  <si>
    <t xml:space="preserve">Check</t>
  </si>
  <si>
    <t xml:space="preserve">Expected</t>
  </si>
  <si>
    <t xml:space="preserve">Result</t>
  </si>
  <si>
    <t xml:space="preserve">Transactional entities</t>
  </si>
  <si>
    <t xml:space="preserve">Entity-های تأییدشده Team 2</t>
  </si>
  <si>
    <t xml:space="preserve">Reference entities</t>
  </si>
  <si>
    <t xml:space="preserve">۳ Campaign + ۵ Product</t>
  </si>
  <si>
    <t xml:space="preserve">Transactions with Business Event &amp; Grain</t>
  </si>
  <si>
    <t xml:space="preserve">References with Definition &amp; Purpose</t>
  </si>
  <si>
    <t xml:space="preserve">Transactions with Status defined</t>
  </si>
  <si>
    <t xml:space="preserve">Market Price و Campaign Cost «—» → OD-08</t>
  </si>
  <si>
    <t xml:space="preserve">Transactions with Owner defined</t>
  </si>
  <si>
    <t xml:space="preserve">Brand Activity/Campaign: TBC؛ ۲ Owner دوگانه → OD-15</t>
  </si>
  <si>
    <t xml:space="preserve">References with Status = Defined</t>
  </si>
  <si>
    <t xml:space="preserve">Package و UOM؛ بقیه Open</t>
  </si>
  <si>
    <t xml:space="preserve">Mapping rows</t>
  </si>
  <si>
    <t xml:space="preserve">Duplicate Mapping IDs</t>
  </si>
  <si>
    <t xml:space="preserve">Mapping: transactions not in catalog</t>
  </si>
  <si>
    <t xml:space="preserve">Mapping: references not in catalog</t>
  </si>
  <si>
    <t xml:space="preserve">Mapping: Mandatory? = To Be Confirmed</t>
  </si>
  <si>
    <t xml:space="preserve">→ OD-16</t>
  </si>
  <si>
    <t xml:space="preserve">Transactions without mapping</t>
  </si>
  <si>
    <t xml:space="preserve">-</t>
  </si>
  <si>
    <t xml:space="preserve">Info</t>
  </si>
  <si>
    <t xml:space="preserve">Market Research/Survey/Price، Campaign Cost، Promotion</t>
  </si>
  <si>
    <t xml:space="preserve">References not used by Team 2 transactions</t>
  </si>
  <si>
    <t xml:space="preserve">۵ Reference محصول → OD-22</t>
  </si>
  <si>
    <t xml:space="preserve">Relationship rows</t>
  </si>
  <si>
    <t xml:space="preserve">Duplicate Relationship IDs</t>
  </si>
  <si>
    <t xml:space="preserve">Relationships: From Entity not in transactional catalog</t>
  </si>
  <si>
    <t xml:space="preserve">Relationship rows with unclassified To Entity (not catalog / not documented Master / not Team 1)</t>
  </si>
  <si>
    <t xml:space="preserve">Market, Market Research Type, Market Segment, Survey Method, Brand Campaign Type → OD-03..OD-06. Master (Product/Brand/Competitor) و Sales Order (Team 1) مجازند و Class دارند</t>
  </si>
  <si>
    <t xml:space="preserve">Relationships: Mandatory? = To Be Confirmed</t>
  </si>
  <si>
    <t xml:space="preserve">Yes: 5، No: 1</t>
  </si>
  <si>
    <t xml:space="preserve">Relationships with standard Relationship Type (1:1, 1:N, N:1, N:M, TBC)</t>
  </si>
  <si>
    <t xml:space="preserve">Verb در ستون جداگانه</t>
  </si>
  <si>
    <t xml:space="preserve">Relationships with Cardinality = TBC</t>
  </si>
  <si>
    <t xml:space="preserve">TR-013..TR-022 → OD-20</t>
  </si>
  <si>
    <t xml:space="preserve">Relationships flagged in Cardinality Review</t>
  </si>
  <si>
    <t xml:space="preserve">TR-002, 004, 011, 012 + ردیف‌های TBC</t>
  </si>
  <si>
    <t xml:space="preserve">Shared Data rows</t>
  </si>
  <si>
    <t xml:space="preserve">Confirmed: 2؛ بقیه Candidate/نیازمند تأیید</t>
  </si>
  <si>
    <t xml:space="preserve">Duplicate &amp; Conflict Log rows</t>
  </si>
  <si>
    <t xml:space="preserve">هیچ موردی حذف نشده</t>
  </si>
  <si>
    <t xml:space="preserve">Open Decisions rows</t>
  </si>
  <si>
    <t xml:space="preserve">Final Entity Catalog cross-check (16 entities)</t>
  </si>
  <si>
    <t xml:space="preserve">Not performed</t>
  </si>
  <si>
    <t xml:space="preserve">→ OD-32؛ سند دریافت نشد</t>
  </si>
  <si>
    <t xml:space="preserve">New entities created outside Final Entity Catalog</t>
  </si>
  <si>
    <t xml:space="preserve">Pass</t>
  </si>
  <si>
    <t xml:space="preserve">Process check: هیچ Entity جدیدی ساخته نشد</t>
  </si>
  <si>
    <t xml:space="preserve">Shared / Duplicate / Conflict items deleted</t>
  </si>
  <si>
    <t xml:space="preserve">Process check: هیچ مورد حذف نشد</t>
  </si>
  <si>
    <t xml:space="preserve">Naming Standard compliance</t>
  </si>
  <si>
    <t xml:space="preserve">Not verifiable</t>
  </si>
  <si>
    <t xml:space="preserve">سند Naming Standard دریافت نشد؛ فقط سازگاری داخلی بررسی شد (DC-08, DC-25, DC-26, DC-30..DC-32)</t>
  </si>
  <si>
    <t xml:space="preserve">Definition of Done (Task 4.6 guideline)</t>
  </si>
  <si>
    <t xml:space="preserve">Pending reviewer check</t>
  </si>
  <si>
    <t xml:space="preserve">تطبیق نهایی با راهنمای Task 4.6 باید توسط Reviewer انجام شود؛ در این Merge فقط Acceptance Criteria متن تسک بررسی شده است</t>
  </si>
  <si>
    <t xml:space="preserve">Overall status</t>
  </si>
  <si>
    <t xml:space="preserve">Fail ها در ردیف‌های بالا مشخص‌اند؛ Open/Warn به Open Decisions ارجاع دارند</t>
  </si>
  <si>
    <t xml:space="preserve">Final Entity Catalog</t>
  </si>
  <si>
    <t xml:space="preserve">Not received</t>
  </si>
  <si>
    <t xml:space="preserve">لیست ۸+۸ از Validation فایل Mapping به‌عنوان جایگزین استفاده شد</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</si>
</sst>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32"/>
    <col collapsed="false" customWidth="true" hidden="false" outlineLevel="0" max="4" min="4" style="0" width="26"/>
    <col collapsed="false" customWidth="true" hidden="false" outlineLevel="0" max="5" min="5" style="0" width="28"/>
    <col collapsed="false" customWidth="true" hidden="false" outlineLevel="0" max="7" min="6" style="0" width="24"/>
    <col collapsed="false" customWidth="true" hidden="false" outlineLevel="0" max="8" min="8" style="0" width="18"/>
    <col collapsed="false" customWidth="true" hidden="false" outlineLevel="0" max="9" min="9" style="0" width="24"/>
    <col collapsed="false" customWidth="true" hidden="false" outlineLevel="0" max="11" min="10" style="0" width="22"/>
    <col collapsed="false" customWidth="true" hidden="false" outlineLevel="0" max="12" min="12" style="0" width="36"/>
    <col collapsed="false" customWidth="true" hidden="false" outlineLevel="0" max="13" min="13" style="0" width="6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46.25" hidden="false" customHeight="false" outlineLevel="0" collapsed="false">
      <c r="A2" s="2" t="s">
        <v>13</v>
      </c>
      <c r="B2" s="2" t="s">
        <v>14</v>
      </c>
      <c r="C2" s="2" t="s">
        <v>15</v>
      </c>
      <c r="D2" s="2" t="s">
        <v>16</v>
      </c>
      <c r="E2" s="2" t="s">
        <v>17</v>
      </c>
      <c r="F2" s="2" t="s">
        <v>18</v>
      </c>
      <c r="G2" s="2" t="s">
        <v>19</v>
      </c>
      <c r="H2" s="2" t="s">
        <v>20</v>
      </c>
      <c r="I2" s="2" t="s">
        <v>21</v>
      </c>
      <c r="J2" s="2" t="s">
        <v>22</v>
      </c>
      <c r="K2" s="2" t="s">
        <v>23</v>
      </c>
      <c r="L2" s="2" t="s">
        <v>24</v>
      </c>
      <c r="M2" s="2" t="s">
        <v>25</v>
      </c>
    </row>
    <row r="3" customFormat="false" ht="79.85" hidden="false" customHeight="false" outlineLevel="0" collapsed="false">
      <c r="A3" s="2" t="s">
        <v>26</v>
      </c>
      <c r="B3" s="2" t="s">
        <v>27</v>
      </c>
      <c r="C3" s="2" t="s">
        <v>28</v>
      </c>
      <c r="D3" s="2" t="s">
        <v>29</v>
      </c>
      <c r="E3" s="2" t="s">
        <v>30</v>
      </c>
      <c r="F3" s="2" t="s">
        <v>18</v>
      </c>
      <c r="G3" s="2" t="s">
        <v>31</v>
      </c>
      <c r="H3" s="2" t="s">
        <v>20</v>
      </c>
      <c r="I3" s="2" t="s">
        <v>32</v>
      </c>
      <c r="J3" s="2" t="s">
        <v>33</v>
      </c>
      <c r="K3" s="2" t="s">
        <v>34</v>
      </c>
      <c r="L3" s="2" t="s">
        <v>35</v>
      </c>
      <c r="M3" s="2" t="s">
        <v>36</v>
      </c>
    </row>
    <row r="4" customFormat="false" ht="91" hidden="false" customHeight="false" outlineLevel="0" collapsed="false">
      <c r="A4" s="2" t="s">
        <v>37</v>
      </c>
      <c r="B4" s="2" t="s">
        <v>38</v>
      </c>
      <c r="C4" s="2" t="s">
        <v>39</v>
      </c>
      <c r="D4" s="2" t="s">
        <v>40</v>
      </c>
      <c r="E4" s="2" t="s">
        <v>41</v>
      </c>
      <c r="F4" s="2" t="s">
        <v>18</v>
      </c>
      <c r="G4" s="2" t="s">
        <v>42</v>
      </c>
      <c r="H4" s="2" t="s">
        <v>20</v>
      </c>
      <c r="I4" s="2" t="s">
        <v>43</v>
      </c>
      <c r="J4" s="2" t="s">
        <v>33</v>
      </c>
      <c r="K4" s="2" t="s">
        <v>44</v>
      </c>
      <c r="L4" s="2" t="s">
        <v>45</v>
      </c>
      <c r="M4" s="2" t="s">
        <v>46</v>
      </c>
    </row>
    <row r="5" customFormat="false" ht="35.05" hidden="false" customHeight="false" outlineLevel="0" collapsed="false">
      <c r="A5" s="2" t="s">
        <v>47</v>
      </c>
      <c r="B5" s="2" t="s">
        <v>48</v>
      </c>
      <c r="C5" s="2" t="s">
        <v>49</v>
      </c>
      <c r="D5" s="2" t="s">
        <v>50</v>
      </c>
      <c r="E5" s="2" t="s">
        <v>51</v>
      </c>
      <c r="F5" s="2" t="s">
        <v>20</v>
      </c>
      <c r="G5" s="2" t="s">
        <v>52</v>
      </c>
      <c r="H5" s="2" t="s">
        <v>20</v>
      </c>
      <c r="I5" s="2" t="s">
        <v>53</v>
      </c>
      <c r="J5" s="2" t="s">
        <v>54</v>
      </c>
      <c r="K5" s="2" t="s">
        <v>55</v>
      </c>
      <c r="L5" s="2" t="s">
        <v>56</v>
      </c>
      <c r="M5" s="2" t="s">
        <v>57</v>
      </c>
    </row>
    <row r="6" customFormat="false" ht="35.05" hidden="false" customHeight="false" outlineLevel="0" collapsed="false">
      <c r="A6" s="2" t="s">
        <v>58</v>
      </c>
      <c r="B6" s="2" t="s">
        <v>59</v>
      </c>
      <c r="C6" s="2" t="s">
        <v>60</v>
      </c>
      <c r="D6" s="2" t="s">
        <v>61</v>
      </c>
      <c r="E6" s="2" t="s">
        <v>62</v>
      </c>
      <c r="F6" s="2" t="s">
        <v>63</v>
      </c>
      <c r="G6" s="2" t="s">
        <v>64</v>
      </c>
      <c r="H6" s="2" t="s">
        <v>20</v>
      </c>
      <c r="I6" s="2" t="s">
        <v>53</v>
      </c>
      <c r="J6" s="2" t="s">
        <v>54</v>
      </c>
      <c r="K6" s="2" t="s">
        <v>55</v>
      </c>
      <c r="L6" s="2" t="s">
        <v>56</v>
      </c>
      <c r="M6" s="2" t="s">
        <v>65</v>
      </c>
    </row>
    <row r="7" customFormat="false" ht="35.05" hidden="false" customHeight="false" outlineLevel="0" collapsed="false">
      <c r="A7" s="2" t="s">
        <v>66</v>
      </c>
      <c r="B7" s="2" t="s">
        <v>67</v>
      </c>
      <c r="C7" s="2" t="s">
        <v>68</v>
      </c>
      <c r="D7" s="2" t="s">
        <v>69</v>
      </c>
      <c r="E7" s="2" t="s">
        <v>70</v>
      </c>
      <c r="F7" s="2" t="s">
        <v>71</v>
      </c>
      <c r="G7" s="2" t="s">
        <v>72</v>
      </c>
      <c r="H7" s="2" t="s">
        <v>73</v>
      </c>
      <c r="I7" s="2" t="s">
        <v>74</v>
      </c>
      <c r="J7" s="2" t="s">
        <v>33</v>
      </c>
      <c r="K7" s="2" t="s">
        <v>55</v>
      </c>
      <c r="L7" s="2" t="s">
        <v>75</v>
      </c>
      <c r="M7" s="2" t="s">
        <v>76</v>
      </c>
    </row>
    <row r="8" customFormat="false" ht="35.05" hidden="false" customHeight="false" outlineLevel="0" collapsed="false">
      <c r="A8" s="2" t="s">
        <v>77</v>
      </c>
      <c r="B8" s="2" t="s">
        <v>78</v>
      </c>
      <c r="C8" s="2" t="s">
        <v>79</v>
      </c>
      <c r="D8" s="2" t="s">
        <v>80</v>
      </c>
      <c r="E8" s="2" t="s">
        <v>81</v>
      </c>
      <c r="F8" s="2" t="s">
        <v>71</v>
      </c>
      <c r="G8" s="2" t="s">
        <v>72</v>
      </c>
      <c r="H8" s="2" t="s">
        <v>73</v>
      </c>
      <c r="I8" s="2" t="s">
        <v>74</v>
      </c>
      <c r="J8" s="2" t="s">
        <v>33</v>
      </c>
      <c r="K8" s="2" t="s">
        <v>55</v>
      </c>
      <c r="L8" s="2" t="s">
        <v>82</v>
      </c>
      <c r="M8" s="2" t="s">
        <v>83</v>
      </c>
    </row>
    <row r="9" customFormat="false" ht="35.05" hidden="false" customHeight="false" outlineLevel="0" collapsed="false">
      <c r="A9" s="2" t="s">
        <v>84</v>
      </c>
      <c r="B9" s="2" t="s">
        <v>85</v>
      </c>
      <c r="C9" s="2" t="s">
        <v>86</v>
      </c>
      <c r="D9" s="2" t="s">
        <v>20</v>
      </c>
      <c r="E9" s="2" t="s">
        <v>87</v>
      </c>
      <c r="F9" s="2" t="s">
        <v>71</v>
      </c>
      <c r="G9" s="2" t="s">
        <v>88</v>
      </c>
      <c r="H9" s="2" t="s">
        <v>20</v>
      </c>
      <c r="I9" s="2" t="s">
        <v>89</v>
      </c>
      <c r="J9" s="2" t="s">
        <v>90</v>
      </c>
      <c r="K9" s="2" t="s">
        <v>91</v>
      </c>
      <c r="L9" s="2" t="s">
        <v>92</v>
      </c>
      <c r="M9" s="2" t="s">
        <v>93</v>
      </c>
    </row>
  </sheetData>
  <autoFilter ref="A1:M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2"/>
    <col collapsed="false" customWidth="true" hidden="false" outlineLevel="0" max="4" min="3" style="0" width="22"/>
    <col collapsed="false" customWidth="true" hidden="false" outlineLevel="0" max="5" min="5" style="0" width="32"/>
    <col collapsed="false" customWidth="true" hidden="false" outlineLevel="0" max="6" min="6" style="0" width="36"/>
    <col collapsed="false" customWidth="true" hidden="false" outlineLevel="0" max="7" min="7" style="0" width="22"/>
    <col collapsed="false" customWidth="true" hidden="false" outlineLevel="0" max="8" min="8" style="0" width="18"/>
    <col collapsed="false" customWidth="true" hidden="false" outlineLevel="0" max="9" min="9" style="0" width="26"/>
    <col collapsed="false" customWidth="true" hidden="false" outlineLevel="0" max="10" min="10" style="0" width="18"/>
    <col collapsed="false" customWidth="true" hidden="false" outlineLevel="0" max="11" min="11" style="0" width="16"/>
    <col collapsed="false" customWidth="true" hidden="false" outlineLevel="0" max="12" min="12" style="0" width="28"/>
    <col collapsed="false" customWidth="true" hidden="false" outlineLevel="0" max="13" min="13" style="0" width="26"/>
    <col collapsed="false" customWidth="true" hidden="false" outlineLevel="0" max="14" min="14" style="0" width="70"/>
  </cols>
  <sheetData>
    <row r="1" customFormat="false" ht="15" hidden="false" customHeight="false" outlineLevel="0" collapsed="false">
      <c r="A1" s="1" t="s">
        <v>0</v>
      </c>
      <c r="B1" s="1" t="s">
        <v>1</v>
      </c>
      <c r="C1" s="1" t="s">
        <v>10</v>
      </c>
      <c r="D1" s="1" t="s">
        <v>94</v>
      </c>
      <c r="E1" s="1" t="s">
        <v>95</v>
      </c>
      <c r="F1" s="1" t="s">
        <v>96</v>
      </c>
      <c r="G1" s="1" t="s">
        <v>97</v>
      </c>
      <c r="H1" s="1" t="s">
        <v>7</v>
      </c>
      <c r="I1" s="1" t="s">
        <v>8</v>
      </c>
      <c r="J1" s="1" t="s">
        <v>9</v>
      </c>
      <c r="K1" s="1" t="s">
        <v>98</v>
      </c>
      <c r="L1" s="1" t="s">
        <v>99</v>
      </c>
      <c r="M1" s="1" t="s">
        <v>100</v>
      </c>
      <c r="N1" s="1" t="s">
        <v>12</v>
      </c>
    </row>
    <row r="2" customFormat="false" ht="35.05" hidden="false" customHeight="false" outlineLevel="0" collapsed="false">
      <c r="A2" s="2" t="s">
        <v>101</v>
      </c>
      <c r="B2" s="2" t="s">
        <v>102</v>
      </c>
      <c r="C2" s="2" t="s">
        <v>101</v>
      </c>
      <c r="D2" s="2" t="s">
        <v>103</v>
      </c>
      <c r="E2" s="2" t="s">
        <v>104</v>
      </c>
      <c r="F2" s="2" t="s">
        <v>105</v>
      </c>
      <c r="G2" s="2" t="s">
        <v>106</v>
      </c>
      <c r="H2" s="2" t="s">
        <v>107</v>
      </c>
      <c r="I2" s="2" t="s">
        <v>108</v>
      </c>
      <c r="J2" s="2" t="s">
        <v>22</v>
      </c>
      <c r="K2" s="2" t="s">
        <v>71</v>
      </c>
      <c r="L2" s="2" t="s">
        <v>71</v>
      </c>
      <c r="M2" s="2" t="s">
        <v>109</v>
      </c>
      <c r="N2" s="2" t="s">
        <v>110</v>
      </c>
    </row>
    <row r="3" customFormat="false" ht="35.05" hidden="false" customHeight="false" outlineLevel="0" collapsed="false">
      <c r="A3" s="2" t="s">
        <v>109</v>
      </c>
      <c r="B3" s="2" t="s">
        <v>111</v>
      </c>
      <c r="C3" s="2" t="s">
        <v>101</v>
      </c>
      <c r="D3" s="2" t="s">
        <v>112</v>
      </c>
      <c r="E3" s="2" t="s">
        <v>113</v>
      </c>
      <c r="F3" s="2" t="s">
        <v>114</v>
      </c>
      <c r="G3" s="2" t="s">
        <v>115</v>
      </c>
      <c r="H3" s="2" t="s">
        <v>116</v>
      </c>
      <c r="I3" s="2" t="s">
        <v>117</v>
      </c>
      <c r="J3" s="2" t="s">
        <v>22</v>
      </c>
      <c r="K3" s="2" t="s">
        <v>71</v>
      </c>
      <c r="L3" s="2" t="s">
        <v>118</v>
      </c>
      <c r="M3" s="2" t="s">
        <v>101</v>
      </c>
      <c r="N3" s="2" t="s">
        <v>119</v>
      </c>
    </row>
    <row r="4" customFormat="false" ht="35.05" hidden="false" customHeight="false" outlineLevel="0" collapsed="false">
      <c r="A4" s="2" t="s">
        <v>120</v>
      </c>
      <c r="B4" s="2" t="s">
        <v>121</v>
      </c>
      <c r="C4" s="2" t="s">
        <v>122</v>
      </c>
      <c r="D4" s="2" t="s">
        <v>123</v>
      </c>
      <c r="E4" s="2" t="s">
        <v>124</v>
      </c>
      <c r="F4" s="2" t="s">
        <v>125</v>
      </c>
      <c r="G4" s="2" t="s">
        <v>126</v>
      </c>
      <c r="H4" s="2" t="s">
        <v>71</v>
      </c>
      <c r="I4" s="2" t="s">
        <v>127</v>
      </c>
      <c r="J4" s="2" t="s">
        <v>128</v>
      </c>
      <c r="K4" s="2" t="s">
        <v>129</v>
      </c>
      <c r="L4" s="2" t="s">
        <v>71</v>
      </c>
      <c r="M4" s="2" t="s">
        <v>71</v>
      </c>
      <c r="N4" s="2" t="s">
        <v>130</v>
      </c>
    </row>
    <row r="5" customFormat="false" ht="35.05" hidden="false" customHeight="false" outlineLevel="0" collapsed="false">
      <c r="A5" s="2" t="s">
        <v>131</v>
      </c>
      <c r="B5" s="2" t="s">
        <v>132</v>
      </c>
      <c r="C5" s="2" t="s">
        <v>133</v>
      </c>
      <c r="D5" s="2" t="s">
        <v>131</v>
      </c>
      <c r="E5" s="2" t="s">
        <v>134</v>
      </c>
      <c r="F5" s="2" t="s">
        <v>135</v>
      </c>
      <c r="G5" s="2" t="s">
        <v>136</v>
      </c>
      <c r="H5" s="2" t="s">
        <v>137</v>
      </c>
      <c r="I5" s="2" t="s">
        <v>138</v>
      </c>
      <c r="J5" s="2" t="s">
        <v>139</v>
      </c>
      <c r="K5" s="2" t="s">
        <v>140</v>
      </c>
      <c r="L5" s="2" t="s">
        <v>26</v>
      </c>
      <c r="M5" s="2" t="s">
        <v>71</v>
      </c>
      <c r="N5" s="2" t="s">
        <v>141</v>
      </c>
    </row>
    <row r="6" customFormat="false" ht="46.25" hidden="false" customHeight="false" outlineLevel="0" collapsed="false">
      <c r="A6" s="2" t="s">
        <v>142</v>
      </c>
      <c r="B6" s="2" t="s">
        <v>143</v>
      </c>
      <c r="C6" s="2" t="s">
        <v>133</v>
      </c>
      <c r="D6" s="2" t="s">
        <v>142</v>
      </c>
      <c r="E6" s="2" t="s">
        <v>144</v>
      </c>
      <c r="F6" s="2" t="s">
        <v>145</v>
      </c>
      <c r="G6" s="2" t="s">
        <v>146</v>
      </c>
      <c r="H6" s="2" t="s">
        <v>147</v>
      </c>
      <c r="I6" s="2" t="s">
        <v>138</v>
      </c>
      <c r="J6" s="2" t="s">
        <v>139</v>
      </c>
      <c r="K6" s="2" t="s">
        <v>140</v>
      </c>
      <c r="L6" s="2" t="s">
        <v>148</v>
      </c>
      <c r="M6" s="2" t="s">
        <v>149</v>
      </c>
      <c r="N6" s="2" t="s">
        <v>150</v>
      </c>
    </row>
    <row r="7" customFormat="false" ht="35.05" hidden="false" customHeight="false" outlineLevel="0" collapsed="false">
      <c r="A7" s="2" t="s">
        <v>24</v>
      </c>
      <c r="B7" s="2" t="s">
        <v>151</v>
      </c>
      <c r="C7" s="2" t="s">
        <v>24</v>
      </c>
      <c r="D7" s="2" t="s">
        <v>24</v>
      </c>
      <c r="E7" s="2" t="s">
        <v>152</v>
      </c>
      <c r="F7" s="2" t="s">
        <v>153</v>
      </c>
      <c r="G7" s="2" t="s">
        <v>106</v>
      </c>
      <c r="H7" s="2" t="s">
        <v>147</v>
      </c>
      <c r="I7" s="2" t="s">
        <v>154</v>
      </c>
      <c r="J7" s="2" t="s">
        <v>22</v>
      </c>
      <c r="K7" s="2" t="s">
        <v>71</v>
      </c>
      <c r="L7" s="2" t="s">
        <v>148</v>
      </c>
      <c r="M7" s="2" t="s">
        <v>155</v>
      </c>
      <c r="N7" s="2" t="s">
        <v>156</v>
      </c>
    </row>
    <row r="8" customFormat="false" ht="46.25" hidden="false" customHeight="false" outlineLevel="0" collapsed="false">
      <c r="A8" s="2" t="s">
        <v>149</v>
      </c>
      <c r="B8" s="2" t="s">
        <v>157</v>
      </c>
      <c r="C8" s="2" t="s">
        <v>24</v>
      </c>
      <c r="D8" s="2" t="s">
        <v>158</v>
      </c>
      <c r="E8" s="2" t="s">
        <v>159</v>
      </c>
      <c r="F8" s="2" t="s">
        <v>160</v>
      </c>
      <c r="G8" s="2" t="s">
        <v>161</v>
      </c>
      <c r="H8" s="2" t="s">
        <v>71</v>
      </c>
      <c r="I8" s="2" t="s">
        <v>162</v>
      </c>
      <c r="J8" s="2" t="s">
        <v>163</v>
      </c>
      <c r="K8" s="2" t="s">
        <v>71</v>
      </c>
      <c r="L8" s="2" t="s">
        <v>71</v>
      </c>
      <c r="M8" s="2" t="s">
        <v>24</v>
      </c>
      <c r="N8" s="2" t="s">
        <v>164</v>
      </c>
    </row>
    <row r="9" customFormat="false" ht="35.05" hidden="false" customHeight="false" outlineLevel="0" collapsed="false">
      <c r="A9" s="2" t="s">
        <v>165</v>
      </c>
      <c r="B9" s="2" t="s">
        <v>166</v>
      </c>
      <c r="C9" s="2" t="s">
        <v>167</v>
      </c>
      <c r="D9" s="2" t="s">
        <v>168</v>
      </c>
      <c r="E9" s="2" t="s">
        <v>169</v>
      </c>
      <c r="F9" s="2" t="s">
        <v>170</v>
      </c>
      <c r="G9" s="2" t="s">
        <v>171</v>
      </c>
      <c r="H9" s="2" t="s">
        <v>172</v>
      </c>
      <c r="I9" s="2" t="s">
        <v>128</v>
      </c>
      <c r="J9" s="2" t="s">
        <v>173</v>
      </c>
      <c r="K9" s="2" t="s">
        <v>71</v>
      </c>
      <c r="L9" s="2" t="s">
        <v>71</v>
      </c>
      <c r="M9" s="2" t="s">
        <v>174</v>
      </c>
      <c r="N9" s="2" t="s">
        <v>175</v>
      </c>
    </row>
  </sheetData>
  <autoFilter ref="A1:N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4" min="4" style="0" width="45"/>
    <col collapsed="false" customWidth="true" hidden="false" outlineLevel="0" max="5" min="5" style="0" width="16"/>
    <col collapsed="false" customWidth="true" hidden="false" outlineLevel="0" max="6" min="6" style="0" width="70"/>
  </cols>
  <sheetData>
    <row r="1" customFormat="false" ht="15" hidden="false" customHeight="false" outlineLevel="0" collapsed="false">
      <c r="A1" s="1" t="s">
        <v>176</v>
      </c>
      <c r="B1" s="1" t="s">
        <v>177</v>
      </c>
      <c r="C1" s="1" t="s">
        <v>178</v>
      </c>
      <c r="D1" s="1" t="s">
        <v>179</v>
      </c>
      <c r="E1" s="1" t="s">
        <v>180</v>
      </c>
      <c r="F1" s="1" t="s">
        <v>12</v>
      </c>
    </row>
    <row r="2" customFormat="false" ht="57.45" hidden="false" customHeight="false" outlineLevel="0" collapsed="false">
      <c r="A2" s="2" t="s">
        <v>181</v>
      </c>
      <c r="B2" s="2" t="s">
        <v>131</v>
      </c>
      <c r="C2" s="2" t="s">
        <v>26</v>
      </c>
      <c r="D2" s="2" t="s">
        <v>182</v>
      </c>
      <c r="E2" s="2" t="s">
        <v>139</v>
      </c>
      <c r="F2" s="2" t="s">
        <v>183</v>
      </c>
    </row>
    <row r="3" customFormat="false" ht="57.45" hidden="false" customHeight="false" outlineLevel="0" collapsed="false">
      <c r="A3" s="2" t="s">
        <v>184</v>
      </c>
      <c r="B3" s="2" t="s">
        <v>142</v>
      </c>
      <c r="C3" s="2" t="s">
        <v>13</v>
      </c>
      <c r="D3" s="2" t="s">
        <v>185</v>
      </c>
      <c r="E3" s="2" t="s">
        <v>139</v>
      </c>
      <c r="F3" s="2" t="s">
        <v>186</v>
      </c>
    </row>
    <row r="4" customFormat="false" ht="57.45" hidden="false" customHeight="false" outlineLevel="0" collapsed="false">
      <c r="A4" s="2" t="s">
        <v>187</v>
      </c>
      <c r="B4" s="2" t="s">
        <v>142</v>
      </c>
      <c r="C4" s="2" t="s">
        <v>26</v>
      </c>
      <c r="D4" s="2" t="s">
        <v>188</v>
      </c>
      <c r="E4" s="2" t="s">
        <v>139</v>
      </c>
      <c r="F4" s="2" t="s">
        <v>189</v>
      </c>
    </row>
    <row r="5" customFormat="false" ht="46.25" hidden="false" customHeight="false" outlineLevel="0" collapsed="false">
      <c r="A5" s="2" t="s">
        <v>190</v>
      </c>
      <c r="B5" s="2" t="s">
        <v>142</v>
      </c>
      <c r="C5" s="2" t="s">
        <v>37</v>
      </c>
      <c r="D5" s="2" t="s">
        <v>191</v>
      </c>
      <c r="E5" s="2" t="s">
        <v>139</v>
      </c>
      <c r="F5" s="2" t="s">
        <v>192</v>
      </c>
    </row>
    <row r="6" customFormat="false" ht="35.05" hidden="false" customHeight="false" outlineLevel="0" collapsed="false">
      <c r="A6" s="2" t="s">
        <v>193</v>
      </c>
      <c r="B6" s="2" t="s">
        <v>24</v>
      </c>
      <c r="C6" s="2" t="s">
        <v>13</v>
      </c>
      <c r="D6" s="2" t="s">
        <v>194</v>
      </c>
      <c r="E6" s="2" t="s">
        <v>139</v>
      </c>
      <c r="F6" s="2" t="s">
        <v>195</v>
      </c>
    </row>
    <row r="7" customFormat="false" ht="35.05" hidden="false" customHeight="false" outlineLevel="0" collapsed="false">
      <c r="A7" s="2" t="s">
        <v>196</v>
      </c>
      <c r="B7" s="2" t="s">
        <v>24</v>
      </c>
      <c r="C7" s="2" t="s">
        <v>26</v>
      </c>
      <c r="D7" s="2" t="s">
        <v>197</v>
      </c>
      <c r="E7" s="2" t="s">
        <v>139</v>
      </c>
      <c r="F7" s="2" t="s">
        <v>198</v>
      </c>
    </row>
    <row r="8" customFormat="false" ht="35.05" hidden="false" customHeight="false" outlineLevel="0" collapsed="false">
      <c r="A8" s="2" t="s">
        <v>199</v>
      </c>
      <c r="B8" s="2" t="s">
        <v>24</v>
      </c>
      <c r="C8" s="2" t="s">
        <v>37</v>
      </c>
      <c r="D8" s="2" t="s">
        <v>200</v>
      </c>
      <c r="E8" s="2" t="s">
        <v>139</v>
      </c>
      <c r="F8" s="2" t="s">
        <v>201</v>
      </c>
    </row>
  </sheetData>
  <autoFilter ref="A1:F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4"/>
    <col collapsed="false" customWidth="true" hidden="false" outlineLevel="0" max="5" min="4" style="0" width="22"/>
    <col collapsed="false" customWidth="true" hidden="false" outlineLevel="0" max="6" min="6" style="0" width="28"/>
    <col collapsed="false" customWidth="true" hidden="false" outlineLevel="0" max="7" min="7" style="0" width="60"/>
    <col collapsed="false" customWidth="true" hidden="false" outlineLevel="0" max="8" min="8" style="0" width="14"/>
    <col collapsed="false" customWidth="true" hidden="false" outlineLevel="0" max="9" min="9" style="0" width="34"/>
    <col collapsed="false" customWidth="true" hidden="false" outlineLevel="0" max="10" min="10" style="0" width="50"/>
  </cols>
  <sheetData>
    <row r="1" customFormat="false" ht="23.85" hidden="false" customHeight="false" outlineLevel="0" collapsed="false">
      <c r="A1" s="1" t="s">
        <v>202</v>
      </c>
      <c r="B1" s="1" t="s">
        <v>203</v>
      </c>
      <c r="C1" s="1" t="s">
        <v>204</v>
      </c>
      <c r="D1" s="1" t="s">
        <v>205</v>
      </c>
      <c r="E1" s="1" t="s">
        <v>206</v>
      </c>
      <c r="F1" s="1" t="s">
        <v>207</v>
      </c>
      <c r="G1" s="1" t="s">
        <v>208</v>
      </c>
      <c r="H1" s="1" t="s">
        <v>180</v>
      </c>
      <c r="I1" s="1" t="s">
        <v>209</v>
      </c>
      <c r="J1" s="1" t="s">
        <v>12</v>
      </c>
    </row>
    <row r="2" customFormat="false" ht="57.45" hidden="false" customHeight="false" outlineLevel="0" collapsed="false">
      <c r="A2" s="2" t="s">
        <v>210</v>
      </c>
      <c r="B2" s="2" t="s">
        <v>101</v>
      </c>
      <c r="C2" s="2" t="s">
        <v>211</v>
      </c>
      <c r="D2" s="2"/>
      <c r="E2" s="2" t="s">
        <v>109</v>
      </c>
      <c r="F2" s="2" t="s">
        <v>212</v>
      </c>
      <c r="G2" s="2" t="s">
        <v>213</v>
      </c>
      <c r="H2" s="2" t="s">
        <v>139</v>
      </c>
      <c r="I2" s="2"/>
      <c r="J2" s="2" t="s">
        <v>214</v>
      </c>
    </row>
    <row r="3" customFormat="false" ht="68.65" hidden="false" customHeight="false" outlineLevel="0" collapsed="false">
      <c r="A3" s="2" t="s">
        <v>215</v>
      </c>
      <c r="B3" s="2" t="s">
        <v>101</v>
      </c>
      <c r="C3" s="2" t="s">
        <v>211</v>
      </c>
      <c r="D3" s="2"/>
      <c r="E3" s="2" t="s">
        <v>216</v>
      </c>
      <c r="F3" s="2" t="s">
        <v>217</v>
      </c>
      <c r="G3" s="2" t="s">
        <v>218</v>
      </c>
      <c r="H3" s="2" t="s">
        <v>219</v>
      </c>
      <c r="I3" s="2" t="s">
        <v>220</v>
      </c>
      <c r="J3" s="2" t="s">
        <v>221</v>
      </c>
    </row>
    <row r="4" customFormat="false" ht="225.35" hidden="false" customHeight="false" outlineLevel="0" collapsed="false">
      <c r="A4" s="2" t="s">
        <v>222</v>
      </c>
      <c r="B4" s="2" t="s">
        <v>101</v>
      </c>
      <c r="C4" s="2" t="s">
        <v>223</v>
      </c>
      <c r="D4" s="2"/>
      <c r="E4" s="2" t="s">
        <v>224</v>
      </c>
      <c r="F4" s="2" t="s">
        <v>225</v>
      </c>
      <c r="G4" s="2" t="s">
        <v>226</v>
      </c>
      <c r="H4" s="2" t="s">
        <v>139</v>
      </c>
      <c r="I4" s="2"/>
      <c r="J4" s="2" t="s">
        <v>227</v>
      </c>
    </row>
    <row r="5" customFormat="false" ht="113.4" hidden="false" customHeight="false" outlineLevel="0" collapsed="false">
      <c r="A5" s="2" t="s">
        <v>228</v>
      </c>
      <c r="B5" s="2" t="s">
        <v>109</v>
      </c>
      <c r="C5" s="2" t="s">
        <v>211</v>
      </c>
      <c r="D5" s="2"/>
      <c r="E5" s="2" t="s">
        <v>118</v>
      </c>
      <c r="F5" s="2" t="s">
        <v>229</v>
      </c>
      <c r="G5" s="2" t="s">
        <v>230</v>
      </c>
      <c r="H5" s="2" t="s">
        <v>219</v>
      </c>
      <c r="I5" s="2" t="s">
        <v>231</v>
      </c>
      <c r="J5" s="2" t="s">
        <v>232</v>
      </c>
    </row>
    <row r="6" customFormat="false" ht="23.85" hidden="false" customHeight="false" outlineLevel="0" collapsed="false">
      <c r="A6" s="2" t="s">
        <v>233</v>
      </c>
      <c r="B6" s="2" t="s">
        <v>109</v>
      </c>
      <c r="C6" s="2" t="s">
        <v>234</v>
      </c>
      <c r="D6" s="2"/>
      <c r="E6" s="2" t="s">
        <v>235</v>
      </c>
      <c r="F6" s="2" t="s">
        <v>225</v>
      </c>
      <c r="G6" s="2" t="s">
        <v>236</v>
      </c>
      <c r="H6" s="2" t="s">
        <v>139</v>
      </c>
      <c r="I6" s="2"/>
      <c r="J6" s="2" t="s">
        <v>237</v>
      </c>
    </row>
    <row r="7" customFormat="false" ht="35.05" hidden="false" customHeight="false" outlineLevel="0" collapsed="false">
      <c r="A7" s="2" t="s">
        <v>238</v>
      </c>
      <c r="B7" s="2" t="s">
        <v>120</v>
      </c>
      <c r="C7" s="2" t="s">
        <v>223</v>
      </c>
      <c r="D7" s="2"/>
      <c r="E7" s="2" t="s">
        <v>239</v>
      </c>
      <c r="F7" s="2" t="s">
        <v>240</v>
      </c>
      <c r="G7" s="2" t="s">
        <v>241</v>
      </c>
      <c r="H7" s="2" t="s">
        <v>219</v>
      </c>
      <c r="I7" s="2"/>
      <c r="J7" s="2"/>
    </row>
    <row r="8" customFormat="false" ht="23.85" hidden="false" customHeight="false" outlineLevel="0" collapsed="false">
      <c r="A8" s="2" t="s">
        <v>242</v>
      </c>
      <c r="B8" s="2" t="s">
        <v>120</v>
      </c>
      <c r="C8" s="2" t="s">
        <v>223</v>
      </c>
      <c r="D8" s="2"/>
      <c r="E8" s="2" t="s">
        <v>243</v>
      </c>
      <c r="F8" s="2" t="s">
        <v>240</v>
      </c>
      <c r="G8" s="2" t="s">
        <v>244</v>
      </c>
      <c r="H8" s="2" t="s">
        <v>245</v>
      </c>
      <c r="I8" s="2"/>
      <c r="J8" s="2" t="s">
        <v>246</v>
      </c>
    </row>
    <row r="9" customFormat="false" ht="35.05" hidden="false" customHeight="false" outlineLevel="0" collapsed="false">
      <c r="A9" s="2" t="s">
        <v>247</v>
      </c>
      <c r="B9" s="2" t="s">
        <v>131</v>
      </c>
      <c r="C9" s="2" t="s">
        <v>223</v>
      </c>
      <c r="D9" s="2"/>
      <c r="E9" s="2" t="s">
        <v>140</v>
      </c>
      <c r="F9" s="2" t="s">
        <v>240</v>
      </c>
      <c r="G9" s="2" t="s">
        <v>248</v>
      </c>
      <c r="H9" s="2" t="s">
        <v>139</v>
      </c>
      <c r="I9" s="2"/>
      <c r="J9" s="2" t="s">
        <v>249</v>
      </c>
    </row>
    <row r="10" customFormat="false" ht="191.75" hidden="false" customHeight="false" outlineLevel="0" collapsed="false">
      <c r="A10" s="2" t="s">
        <v>250</v>
      </c>
      <c r="B10" s="2" t="s">
        <v>131</v>
      </c>
      <c r="C10" s="2" t="s">
        <v>234</v>
      </c>
      <c r="D10" s="2"/>
      <c r="E10" s="2" t="s">
        <v>26</v>
      </c>
      <c r="F10" s="2" t="s">
        <v>251</v>
      </c>
      <c r="G10" s="2" t="s">
        <v>252</v>
      </c>
      <c r="H10" s="2" t="s">
        <v>139</v>
      </c>
      <c r="I10" s="2"/>
      <c r="J10" s="2" t="s">
        <v>253</v>
      </c>
    </row>
    <row r="11" customFormat="false" ht="23.85" hidden="false" customHeight="false" outlineLevel="0" collapsed="false">
      <c r="A11" s="2" t="s">
        <v>254</v>
      </c>
      <c r="B11" s="2" t="s">
        <v>142</v>
      </c>
      <c r="C11" s="2" t="s">
        <v>223</v>
      </c>
      <c r="D11" s="2"/>
      <c r="E11" s="2" t="s">
        <v>140</v>
      </c>
      <c r="F11" s="2" t="s">
        <v>240</v>
      </c>
      <c r="G11" s="2" t="s">
        <v>255</v>
      </c>
      <c r="H11" s="2" t="s">
        <v>219</v>
      </c>
      <c r="I11" s="2"/>
      <c r="J11" s="2"/>
    </row>
    <row r="12" customFormat="false" ht="68.65" hidden="false" customHeight="false" outlineLevel="0" collapsed="false">
      <c r="A12" s="2" t="s">
        <v>256</v>
      </c>
      <c r="B12" s="2" t="s">
        <v>142</v>
      </c>
      <c r="C12" s="2" t="s">
        <v>211</v>
      </c>
      <c r="D12" s="2"/>
      <c r="E12" s="2" t="s">
        <v>257</v>
      </c>
      <c r="F12" s="2" t="s">
        <v>258</v>
      </c>
      <c r="G12" s="2" t="s">
        <v>259</v>
      </c>
      <c r="H12" s="2" t="s">
        <v>139</v>
      </c>
      <c r="I12" s="2" t="s">
        <v>231</v>
      </c>
      <c r="J12" s="2" t="s">
        <v>260</v>
      </c>
    </row>
    <row r="13" customFormat="false" ht="147" hidden="false" customHeight="false" outlineLevel="0" collapsed="false">
      <c r="A13" s="2" t="s">
        <v>261</v>
      </c>
      <c r="B13" s="2" t="s">
        <v>142</v>
      </c>
      <c r="C13" s="2" t="s">
        <v>211</v>
      </c>
      <c r="D13" s="2"/>
      <c r="E13" s="2" t="s">
        <v>26</v>
      </c>
      <c r="F13" s="2" t="s">
        <v>251</v>
      </c>
      <c r="G13" s="2" t="s">
        <v>262</v>
      </c>
      <c r="H13" s="2" t="s">
        <v>219</v>
      </c>
      <c r="I13" s="2" t="s">
        <v>263</v>
      </c>
      <c r="J13" s="2" t="s">
        <v>264</v>
      </c>
    </row>
    <row r="14" customFormat="false" ht="35.05" hidden="false" customHeight="false" outlineLevel="0" collapsed="false">
      <c r="A14" s="2" t="s">
        <v>265</v>
      </c>
      <c r="B14" s="2" t="s">
        <v>142</v>
      </c>
      <c r="C14" s="2" t="s">
        <v>266</v>
      </c>
      <c r="D14" s="2" t="s">
        <v>267</v>
      </c>
      <c r="E14" s="2" t="s">
        <v>37</v>
      </c>
      <c r="F14" s="2" t="s">
        <v>251</v>
      </c>
      <c r="G14" s="2" t="s">
        <v>268</v>
      </c>
      <c r="H14" s="2" t="s">
        <v>139</v>
      </c>
      <c r="I14" s="2" t="s">
        <v>269</v>
      </c>
      <c r="J14" s="2" t="s">
        <v>270</v>
      </c>
    </row>
    <row r="15" customFormat="false" ht="46.25" hidden="false" customHeight="false" outlineLevel="0" collapsed="false">
      <c r="A15" s="2" t="s">
        <v>271</v>
      </c>
      <c r="B15" s="2" t="s">
        <v>142</v>
      </c>
      <c r="C15" s="2" t="s">
        <v>266</v>
      </c>
      <c r="D15" s="2" t="s">
        <v>272</v>
      </c>
      <c r="E15" s="2" t="s">
        <v>149</v>
      </c>
      <c r="F15" s="2" t="s">
        <v>212</v>
      </c>
      <c r="G15" s="2" t="s">
        <v>273</v>
      </c>
      <c r="H15" s="2" t="s">
        <v>139</v>
      </c>
      <c r="I15" s="2" t="s">
        <v>269</v>
      </c>
      <c r="J15" s="2" t="s">
        <v>274</v>
      </c>
    </row>
    <row r="16" customFormat="false" ht="23.85" hidden="false" customHeight="false" outlineLevel="0" collapsed="false">
      <c r="A16" s="2" t="s">
        <v>275</v>
      </c>
      <c r="B16" s="2" t="s">
        <v>24</v>
      </c>
      <c r="C16" s="2" t="s">
        <v>266</v>
      </c>
      <c r="D16" s="2" t="s">
        <v>276</v>
      </c>
      <c r="E16" s="2" t="s">
        <v>13</v>
      </c>
      <c r="F16" s="2" t="s">
        <v>251</v>
      </c>
      <c r="G16" s="2" t="s">
        <v>277</v>
      </c>
      <c r="H16" s="2" t="s">
        <v>139</v>
      </c>
      <c r="I16" s="2" t="s">
        <v>269</v>
      </c>
      <c r="J16" s="2" t="s">
        <v>278</v>
      </c>
    </row>
    <row r="17" customFormat="false" ht="23.85" hidden="false" customHeight="false" outlineLevel="0" collapsed="false">
      <c r="A17" s="2" t="s">
        <v>279</v>
      </c>
      <c r="B17" s="2" t="s">
        <v>24</v>
      </c>
      <c r="C17" s="2" t="s">
        <v>266</v>
      </c>
      <c r="D17" s="2" t="s">
        <v>280</v>
      </c>
      <c r="E17" s="2" t="s">
        <v>26</v>
      </c>
      <c r="F17" s="2" t="s">
        <v>251</v>
      </c>
      <c r="G17" s="2" t="s">
        <v>281</v>
      </c>
      <c r="H17" s="2" t="s">
        <v>139</v>
      </c>
      <c r="I17" s="2" t="s">
        <v>269</v>
      </c>
      <c r="J17" s="2" t="s">
        <v>282</v>
      </c>
    </row>
    <row r="18" customFormat="false" ht="23.85" hidden="false" customHeight="false" outlineLevel="0" collapsed="false">
      <c r="A18" s="2" t="s">
        <v>283</v>
      </c>
      <c r="B18" s="2" t="s">
        <v>24</v>
      </c>
      <c r="C18" s="2" t="s">
        <v>266</v>
      </c>
      <c r="D18" s="2" t="s">
        <v>267</v>
      </c>
      <c r="E18" s="2" t="s">
        <v>37</v>
      </c>
      <c r="F18" s="2" t="s">
        <v>251</v>
      </c>
      <c r="G18" s="2" t="s">
        <v>284</v>
      </c>
      <c r="H18" s="2" t="s">
        <v>139</v>
      </c>
      <c r="I18" s="2" t="s">
        <v>269</v>
      </c>
      <c r="J18" s="2" t="s">
        <v>285</v>
      </c>
    </row>
    <row r="19" customFormat="false" ht="35.05" hidden="false" customHeight="false" outlineLevel="0" collapsed="false">
      <c r="A19" s="2" t="s">
        <v>286</v>
      </c>
      <c r="B19" s="2" t="s">
        <v>24</v>
      </c>
      <c r="C19" s="2" t="s">
        <v>266</v>
      </c>
      <c r="D19" s="2" t="s">
        <v>287</v>
      </c>
      <c r="E19" s="2" t="s">
        <v>149</v>
      </c>
      <c r="F19" s="2" t="s">
        <v>212</v>
      </c>
      <c r="G19" s="2" t="s">
        <v>288</v>
      </c>
      <c r="H19" s="2" t="s">
        <v>139</v>
      </c>
      <c r="I19" s="2" t="s">
        <v>289</v>
      </c>
      <c r="J19" s="2" t="s">
        <v>290</v>
      </c>
    </row>
    <row r="20" customFormat="false" ht="35.05" hidden="false" customHeight="false" outlineLevel="0" collapsed="false">
      <c r="A20" s="2" t="s">
        <v>291</v>
      </c>
      <c r="B20" s="2" t="s">
        <v>24</v>
      </c>
      <c r="C20" s="2" t="s">
        <v>266</v>
      </c>
      <c r="D20" s="2" t="s">
        <v>292</v>
      </c>
      <c r="E20" s="2" t="s">
        <v>165</v>
      </c>
      <c r="F20" s="2" t="s">
        <v>212</v>
      </c>
      <c r="G20" s="2" t="s">
        <v>293</v>
      </c>
      <c r="H20" s="2" t="s">
        <v>139</v>
      </c>
      <c r="I20" s="2" t="s">
        <v>294</v>
      </c>
      <c r="J20" s="2" t="s">
        <v>295</v>
      </c>
    </row>
    <row r="21" customFormat="false" ht="23.85" hidden="false" customHeight="false" outlineLevel="0" collapsed="false">
      <c r="A21" s="2" t="s">
        <v>296</v>
      </c>
      <c r="B21" s="2" t="s">
        <v>149</v>
      </c>
      <c r="C21" s="2" t="s">
        <v>266</v>
      </c>
      <c r="D21" s="2" t="s">
        <v>297</v>
      </c>
      <c r="E21" s="2" t="s">
        <v>24</v>
      </c>
      <c r="F21" s="2" t="s">
        <v>212</v>
      </c>
      <c r="G21" s="2" t="s">
        <v>298</v>
      </c>
      <c r="H21" s="2" t="s">
        <v>139</v>
      </c>
      <c r="I21" s="2" t="s">
        <v>299</v>
      </c>
      <c r="J21" s="2" t="s">
        <v>300</v>
      </c>
    </row>
    <row r="22" customFormat="false" ht="35.05" hidden="false" customHeight="false" outlineLevel="0" collapsed="false">
      <c r="A22" s="2" t="s">
        <v>301</v>
      </c>
      <c r="B22" s="2" t="s">
        <v>165</v>
      </c>
      <c r="C22" s="2" t="s">
        <v>266</v>
      </c>
      <c r="D22" s="2" t="s">
        <v>302</v>
      </c>
      <c r="E22" s="2" t="s">
        <v>24</v>
      </c>
      <c r="F22" s="2" t="s">
        <v>212</v>
      </c>
      <c r="G22" s="2" t="s">
        <v>303</v>
      </c>
      <c r="H22" s="2" t="s">
        <v>139</v>
      </c>
      <c r="I22" s="2" t="s">
        <v>304</v>
      </c>
      <c r="J22" s="2" t="s">
        <v>305</v>
      </c>
    </row>
    <row r="23" customFormat="false" ht="35.05" hidden="false" customHeight="false" outlineLevel="0" collapsed="false">
      <c r="A23" s="2" t="s">
        <v>306</v>
      </c>
      <c r="B23" s="2" t="s">
        <v>165</v>
      </c>
      <c r="C23" s="2" t="s">
        <v>266</v>
      </c>
      <c r="D23" s="2" t="s">
        <v>307</v>
      </c>
      <c r="E23" s="2" t="s">
        <v>308</v>
      </c>
      <c r="F23" s="2" t="s">
        <v>309</v>
      </c>
      <c r="G23" s="2" t="s">
        <v>310</v>
      </c>
      <c r="H23" s="2" t="s">
        <v>139</v>
      </c>
      <c r="I23" s="2" t="s">
        <v>269</v>
      </c>
      <c r="J23" s="2" t="s">
        <v>311</v>
      </c>
    </row>
  </sheetData>
  <autoFilter ref="A1:J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26"/>
    <col collapsed="false" customWidth="true" hidden="false" outlineLevel="0" max="6" min="5" style="0" width="36"/>
    <col collapsed="false" customWidth="true" hidden="false" outlineLevel="0" max="7" min="7" style="0" width="26"/>
    <col collapsed="false" customWidth="true" hidden="false" outlineLevel="0" max="8" min="8" style="0" width="16"/>
  </cols>
  <sheetData>
    <row r="1" customFormat="false" ht="15" hidden="false" customHeight="false" outlineLevel="0" collapsed="false">
      <c r="A1" s="1" t="s">
        <v>312</v>
      </c>
      <c r="B1" s="1" t="s">
        <v>0</v>
      </c>
      <c r="C1" s="1" t="s">
        <v>313</v>
      </c>
      <c r="D1" s="1" t="s">
        <v>314</v>
      </c>
      <c r="E1" s="1" t="s">
        <v>315</v>
      </c>
      <c r="F1" s="1" t="s">
        <v>316</v>
      </c>
      <c r="G1" s="1" t="s">
        <v>7</v>
      </c>
      <c r="H1" s="1" t="s">
        <v>317</v>
      </c>
    </row>
    <row r="2" customFormat="false" ht="23.85" hidden="false" customHeight="false" outlineLevel="0" collapsed="false">
      <c r="A2" s="2" t="s">
        <v>318</v>
      </c>
      <c r="B2" s="2" t="s">
        <v>165</v>
      </c>
      <c r="C2" s="2" t="s">
        <v>319</v>
      </c>
      <c r="D2" s="2" t="s">
        <v>173</v>
      </c>
      <c r="E2" s="2" t="s">
        <v>320</v>
      </c>
      <c r="F2" s="2" t="s">
        <v>321</v>
      </c>
      <c r="G2" s="2" t="s">
        <v>322</v>
      </c>
      <c r="H2" s="2" t="s">
        <v>323</v>
      </c>
    </row>
    <row r="3" customFormat="false" ht="15" hidden="false" customHeight="false" outlineLevel="0" collapsed="false">
      <c r="A3" s="2" t="s">
        <v>324</v>
      </c>
      <c r="B3" s="2" t="s">
        <v>308</v>
      </c>
      <c r="C3" s="2" t="s">
        <v>309</v>
      </c>
      <c r="D3" s="2" t="s">
        <v>173</v>
      </c>
      <c r="E3" s="2" t="s">
        <v>325</v>
      </c>
      <c r="F3" s="2" t="s">
        <v>326</v>
      </c>
      <c r="G3" s="2" t="s">
        <v>322</v>
      </c>
      <c r="H3" s="2" t="s">
        <v>327</v>
      </c>
    </row>
    <row r="4" customFormat="false" ht="23.85" hidden="false" customHeight="false" outlineLevel="0" collapsed="false">
      <c r="A4" s="2" t="s">
        <v>328</v>
      </c>
      <c r="B4" s="2" t="s">
        <v>47</v>
      </c>
      <c r="C4" s="2" t="s">
        <v>178</v>
      </c>
      <c r="D4" s="2" t="s">
        <v>33</v>
      </c>
      <c r="E4" s="2" t="s">
        <v>329</v>
      </c>
      <c r="F4" s="2" t="s">
        <v>330</v>
      </c>
      <c r="G4" s="2" t="s">
        <v>331</v>
      </c>
      <c r="H4" s="2" t="s">
        <v>332</v>
      </c>
    </row>
    <row r="5" customFormat="false" ht="15" hidden="false" customHeight="false" outlineLevel="0" collapsed="false">
      <c r="A5" s="2" t="s">
        <v>333</v>
      </c>
      <c r="B5" s="2" t="s">
        <v>58</v>
      </c>
      <c r="C5" s="2" t="s">
        <v>178</v>
      </c>
      <c r="D5" s="2" t="s">
        <v>33</v>
      </c>
      <c r="E5" s="2" t="s">
        <v>334</v>
      </c>
      <c r="F5" s="2" t="s">
        <v>334</v>
      </c>
      <c r="G5" s="2" t="s">
        <v>331</v>
      </c>
      <c r="H5" s="2" t="s">
        <v>332</v>
      </c>
    </row>
    <row r="6" customFormat="false" ht="15" hidden="false" customHeight="false" outlineLevel="0" collapsed="false">
      <c r="A6" s="2" t="s">
        <v>335</v>
      </c>
      <c r="B6" s="2" t="s">
        <v>66</v>
      </c>
      <c r="C6" s="2" t="s">
        <v>178</v>
      </c>
      <c r="D6" s="2" t="s">
        <v>33</v>
      </c>
      <c r="E6" s="2" t="s">
        <v>336</v>
      </c>
      <c r="F6" s="2" t="s">
        <v>337</v>
      </c>
      <c r="G6" s="2" t="s">
        <v>331</v>
      </c>
      <c r="H6" s="2" t="s">
        <v>338</v>
      </c>
    </row>
    <row r="7" customFormat="false" ht="15" hidden="false" customHeight="false" outlineLevel="0" collapsed="false">
      <c r="A7" s="2" t="s">
        <v>339</v>
      </c>
      <c r="B7" s="2" t="s">
        <v>77</v>
      </c>
      <c r="C7" s="2" t="s">
        <v>178</v>
      </c>
      <c r="D7" s="2" t="s">
        <v>33</v>
      </c>
      <c r="E7" s="2" t="s">
        <v>340</v>
      </c>
      <c r="F7" s="2" t="s">
        <v>337</v>
      </c>
      <c r="G7" s="2" t="s">
        <v>331</v>
      </c>
      <c r="H7" s="2" t="s">
        <v>338</v>
      </c>
    </row>
    <row r="8" customFormat="false" ht="23.85" hidden="false" customHeight="false" outlineLevel="0" collapsed="false">
      <c r="A8" s="2" t="s">
        <v>341</v>
      </c>
      <c r="B8" s="2" t="s">
        <v>84</v>
      </c>
      <c r="C8" s="2" t="s">
        <v>178</v>
      </c>
      <c r="D8" s="2" t="s">
        <v>342</v>
      </c>
      <c r="E8" s="2" t="s">
        <v>343</v>
      </c>
      <c r="F8" s="2" t="s">
        <v>337</v>
      </c>
      <c r="G8" s="2" t="s">
        <v>331</v>
      </c>
      <c r="H8" s="2" t="s">
        <v>344</v>
      </c>
    </row>
    <row r="9" customFormat="false" ht="15" hidden="false" customHeight="false" outlineLevel="0" collapsed="false">
      <c r="A9" s="2" t="s">
        <v>345</v>
      </c>
      <c r="B9" s="2" t="s">
        <v>346</v>
      </c>
      <c r="C9" s="2" t="s">
        <v>347</v>
      </c>
      <c r="D9" s="2" t="s">
        <v>266</v>
      </c>
      <c r="E9" s="2" t="s">
        <v>348</v>
      </c>
      <c r="F9" s="2" t="s">
        <v>349</v>
      </c>
      <c r="G9" s="2" t="s">
        <v>350</v>
      </c>
      <c r="H9" s="2" t="s">
        <v>351</v>
      </c>
    </row>
    <row r="10" customFormat="false" ht="15" hidden="false" customHeight="false" outlineLevel="0" collapsed="false">
      <c r="A10" s="2" t="s">
        <v>352</v>
      </c>
      <c r="B10" s="2" t="s">
        <v>353</v>
      </c>
      <c r="C10" s="2" t="s">
        <v>347</v>
      </c>
      <c r="D10" s="2" t="s">
        <v>266</v>
      </c>
      <c r="E10" s="2" t="s">
        <v>354</v>
      </c>
      <c r="F10" s="2" t="s">
        <v>355</v>
      </c>
      <c r="G10" s="2" t="s">
        <v>350</v>
      </c>
      <c r="H10" s="2" t="s">
        <v>351</v>
      </c>
    </row>
    <row r="11" customFormat="false" ht="15" hidden="false" customHeight="false" outlineLevel="0" collapsed="false">
      <c r="A11" s="2" t="s">
        <v>356</v>
      </c>
      <c r="B11" s="2" t="s">
        <v>357</v>
      </c>
      <c r="C11" s="2" t="s">
        <v>347</v>
      </c>
      <c r="D11" s="2" t="s">
        <v>266</v>
      </c>
      <c r="E11" s="2" t="s">
        <v>358</v>
      </c>
      <c r="F11" s="2" t="s">
        <v>355</v>
      </c>
      <c r="G11" s="2" t="s">
        <v>350</v>
      </c>
      <c r="H11" s="2" t="s">
        <v>351</v>
      </c>
    </row>
    <row r="12" customFormat="false" ht="15" hidden="false" customHeight="false" outlineLevel="0" collapsed="false">
      <c r="A12" s="2" t="s">
        <v>359</v>
      </c>
      <c r="B12" s="2" t="s">
        <v>360</v>
      </c>
      <c r="C12" s="2" t="s">
        <v>361</v>
      </c>
      <c r="D12" s="2" t="s">
        <v>266</v>
      </c>
      <c r="E12" s="2" t="s">
        <v>362</v>
      </c>
      <c r="F12" s="2" t="s">
        <v>363</v>
      </c>
      <c r="G12" s="2" t="s">
        <v>364</v>
      </c>
      <c r="H12" s="2" t="s">
        <v>365</v>
      </c>
    </row>
    <row r="13" customFormat="false" ht="15" hidden="false" customHeight="false" outlineLevel="0" collapsed="false">
      <c r="A13" s="2" t="s">
        <v>366</v>
      </c>
      <c r="B13" s="2" t="s">
        <v>37</v>
      </c>
      <c r="C13" s="2" t="s">
        <v>178</v>
      </c>
      <c r="D13" s="2" t="s">
        <v>33</v>
      </c>
      <c r="E13" s="2" t="s">
        <v>367</v>
      </c>
      <c r="F13" s="2" t="s">
        <v>368</v>
      </c>
      <c r="G13" s="2" t="s">
        <v>369</v>
      </c>
      <c r="H13" s="2" t="s">
        <v>370</v>
      </c>
    </row>
    <row r="14" customFormat="false" ht="15" hidden="false" customHeight="false" outlineLevel="0" collapsed="false">
      <c r="A14" s="2" t="s">
        <v>371</v>
      </c>
      <c r="B14" s="2" t="s">
        <v>149</v>
      </c>
      <c r="C14" s="2" t="s">
        <v>319</v>
      </c>
      <c r="D14" s="2" t="s">
        <v>163</v>
      </c>
      <c r="E14" s="2" t="s">
        <v>372</v>
      </c>
      <c r="F14" s="2" t="s">
        <v>373</v>
      </c>
      <c r="G14" s="2" t="s">
        <v>374</v>
      </c>
      <c r="H14" s="2" t="s">
        <v>375</v>
      </c>
    </row>
    <row r="15" customFormat="false" ht="15" hidden="false" customHeight="false" outlineLevel="0" collapsed="false">
      <c r="A15" s="2" t="s">
        <v>376</v>
      </c>
      <c r="B15" s="2" t="s">
        <v>120</v>
      </c>
      <c r="C15" s="2" t="s">
        <v>319</v>
      </c>
      <c r="D15" s="2" t="s">
        <v>128</v>
      </c>
      <c r="E15" s="2" t="s">
        <v>377</v>
      </c>
      <c r="F15" s="2" t="s">
        <v>373</v>
      </c>
      <c r="G15" s="2" t="s">
        <v>374</v>
      </c>
      <c r="H15" s="2" t="s">
        <v>378</v>
      </c>
    </row>
  </sheetData>
  <autoFilter ref="A1:H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28"/>
    <col collapsed="false" customWidth="true" hidden="false" outlineLevel="0" max="4" min="4" style="0" width="34"/>
    <col collapsed="false" customWidth="true" hidden="false" outlineLevel="0" max="5" min="5" style="0" width="38"/>
    <col collapsed="false" customWidth="true" hidden="false" outlineLevel="0" max="6" min="6" style="0" width="42"/>
    <col collapsed="false" customWidth="true" hidden="false" outlineLevel="0" max="7" min="7" style="0" width="22"/>
    <col collapsed="false" customWidth="true" hidden="false" outlineLevel="0" max="8" min="8" style="0" width="14"/>
  </cols>
  <sheetData>
    <row r="1" customFormat="false" ht="15" hidden="false" customHeight="false" outlineLevel="0" collapsed="false">
      <c r="A1" s="1" t="s">
        <v>379</v>
      </c>
      <c r="B1" s="1" t="s">
        <v>313</v>
      </c>
      <c r="C1" s="1" t="s">
        <v>380</v>
      </c>
      <c r="D1" s="1" t="s">
        <v>381</v>
      </c>
      <c r="E1" s="1" t="s">
        <v>382</v>
      </c>
      <c r="F1" s="1" t="s">
        <v>383</v>
      </c>
      <c r="G1" s="1" t="s">
        <v>384</v>
      </c>
      <c r="H1" s="1" t="s">
        <v>385</v>
      </c>
    </row>
    <row r="2" customFormat="false" ht="15" hidden="false" customHeight="false" outlineLevel="0" collapsed="false">
      <c r="A2" s="2" t="s">
        <v>386</v>
      </c>
      <c r="B2" s="2" t="s">
        <v>387</v>
      </c>
      <c r="C2" s="2" t="s">
        <v>388</v>
      </c>
      <c r="D2" s="2" t="s">
        <v>389</v>
      </c>
      <c r="E2" s="2" t="s">
        <v>390</v>
      </c>
      <c r="F2" s="2" t="s">
        <v>391</v>
      </c>
      <c r="G2" s="2" t="s">
        <v>392</v>
      </c>
      <c r="H2" s="2" t="s">
        <v>393</v>
      </c>
    </row>
    <row r="3" customFormat="false" ht="23.85" hidden="false" customHeight="false" outlineLevel="0" collapsed="false">
      <c r="A3" s="2" t="s">
        <v>394</v>
      </c>
      <c r="B3" s="2" t="s">
        <v>395</v>
      </c>
      <c r="C3" s="2" t="s">
        <v>396</v>
      </c>
      <c r="D3" s="2" t="s">
        <v>109</v>
      </c>
      <c r="E3" s="2" t="s">
        <v>397</v>
      </c>
      <c r="F3" s="2" t="s">
        <v>398</v>
      </c>
      <c r="G3" s="2" t="s">
        <v>392</v>
      </c>
      <c r="H3" s="2" t="s">
        <v>399</v>
      </c>
    </row>
    <row r="4" customFormat="false" ht="23.85" hidden="false" customHeight="false" outlineLevel="0" collapsed="false">
      <c r="A4" s="2" t="s">
        <v>400</v>
      </c>
      <c r="B4" s="2" t="s">
        <v>395</v>
      </c>
      <c r="C4" s="2" t="s">
        <v>401</v>
      </c>
      <c r="D4" s="2" t="s">
        <v>402</v>
      </c>
      <c r="E4" s="2" t="s">
        <v>403</v>
      </c>
      <c r="F4" s="2" t="s">
        <v>404</v>
      </c>
      <c r="G4" s="2" t="s">
        <v>392</v>
      </c>
      <c r="H4" s="2" t="s">
        <v>405</v>
      </c>
    </row>
    <row r="5" customFormat="false" ht="23.85" hidden="false" customHeight="false" outlineLevel="0" collapsed="false">
      <c r="A5" s="2" t="s">
        <v>406</v>
      </c>
      <c r="B5" s="2" t="s">
        <v>395</v>
      </c>
      <c r="C5" s="2" t="s">
        <v>407</v>
      </c>
      <c r="D5" s="2" t="s">
        <v>118</v>
      </c>
      <c r="E5" s="2" t="s">
        <v>408</v>
      </c>
      <c r="F5" s="2" t="s">
        <v>409</v>
      </c>
      <c r="G5" s="2" t="s">
        <v>392</v>
      </c>
      <c r="H5" s="2" t="s">
        <v>410</v>
      </c>
    </row>
    <row r="6" customFormat="false" ht="15" hidden="false" customHeight="false" outlineLevel="0" collapsed="false">
      <c r="A6" s="2" t="s">
        <v>411</v>
      </c>
      <c r="B6" s="2" t="s">
        <v>412</v>
      </c>
      <c r="C6" s="2" t="s">
        <v>216</v>
      </c>
      <c r="D6" s="2" t="s">
        <v>413</v>
      </c>
      <c r="E6" s="2" t="s">
        <v>414</v>
      </c>
      <c r="F6" s="2" t="s">
        <v>415</v>
      </c>
      <c r="G6" s="2" t="s">
        <v>392</v>
      </c>
      <c r="H6" s="2" t="s">
        <v>416</v>
      </c>
    </row>
    <row r="7" customFormat="false" ht="15" hidden="false" customHeight="false" outlineLevel="0" collapsed="false">
      <c r="A7" s="2" t="s">
        <v>417</v>
      </c>
      <c r="B7" s="2" t="s">
        <v>395</v>
      </c>
      <c r="C7" s="2" t="s">
        <v>109</v>
      </c>
      <c r="D7" s="2" t="s">
        <v>418</v>
      </c>
      <c r="E7" s="2" t="s">
        <v>419</v>
      </c>
      <c r="F7" s="2" t="s">
        <v>420</v>
      </c>
      <c r="G7" s="2" t="s">
        <v>392</v>
      </c>
      <c r="H7" s="2" t="s">
        <v>393</v>
      </c>
    </row>
    <row r="8" customFormat="false" ht="23.85" hidden="false" customHeight="false" outlineLevel="0" collapsed="false">
      <c r="A8" s="2" t="s">
        <v>421</v>
      </c>
      <c r="B8" s="2" t="s">
        <v>395</v>
      </c>
      <c r="C8" s="2" t="s">
        <v>422</v>
      </c>
      <c r="D8" s="2" t="s">
        <v>423</v>
      </c>
      <c r="E8" s="2" t="s">
        <v>424</v>
      </c>
      <c r="F8" s="2" t="s">
        <v>425</v>
      </c>
      <c r="G8" s="2" t="s">
        <v>392</v>
      </c>
      <c r="H8" s="2" t="s">
        <v>426</v>
      </c>
    </row>
    <row r="9" customFormat="false" ht="35.05" hidden="false" customHeight="false" outlineLevel="0" collapsed="false">
      <c r="A9" s="2" t="s">
        <v>427</v>
      </c>
      <c r="B9" s="2" t="s">
        <v>428</v>
      </c>
      <c r="C9" s="2" t="s">
        <v>429</v>
      </c>
      <c r="D9" s="2" t="s">
        <v>430</v>
      </c>
      <c r="E9" s="2" t="s">
        <v>431</v>
      </c>
      <c r="F9" s="2" t="s">
        <v>432</v>
      </c>
      <c r="G9" s="2" t="s">
        <v>392</v>
      </c>
      <c r="H9" s="2" t="s">
        <v>393</v>
      </c>
    </row>
    <row r="10" customFormat="false" ht="23.85" hidden="false" customHeight="false" outlineLevel="0" collapsed="false">
      <c r="A10" s="2" t="s">
        <v>433</v>
      </c>
      <c r="B10" s="2" t="s">
        <v>428</v>
      </c>
      <c r="C10" s="2" t="s">
        <v>97</v>
      </c>
      <c r="D10" s="2" t="s">
        <v>434</v>
      </c>
      <c r="E10" s="2" t="s">
        <v>435</v>
      </c>
      <c r="F10" s="2" t="s">
        <v>436</v>
      </c>
      <c r="G10" s="2" t="s">
        <v>392</v>
      </c>
      <c r="H10" s="2" t="s">
        <v>437</v>
      </c>
    </row>
    <row r="11" customFormat="false" ht="23.85" hidden="false" customHeight="false" outlineLevel="0" collapsed="false">
      <c r="A11" s="2" t="s">
        <v>438</v>
      </c>
      <c r="B11" s="2" t="s">
        <v>439</v>
      </c>
      <c r="C11" s="2" t="s">
        <v>149</v>
      </c>
      <c r="D11" s="2" t="s">
        <v>440</v>
      </c>
      <c r="E11" s="2" t="s">
        <v>441</v>
      </c>
      <c r="F11" s="2" t="s">
        <v>442</v>
      </c>
      <c r="G11" s="2" t="s">
        <v>392</v>
      </c>
      <c r="H11" s="2" t="s">
        <v>443</v>
      </c>
    </row>
    <row r="12" customFormat="false" ht="23.85" hidden="false" customHeight="false" outlineLevel="0" collapsed="false">
      <c r="A12" s="2" t="s">
        <v>444</v>
      </c>
      <c r="B12" s="2" t="s">
        <v>412</v>
      </c>
      <c r="C12" s="2" t="s">
        <v>445</v>
      </c>
      <c r="D12" s="2" t="s">
        <v>446</v>
      </c>
      <c r="E12" s="2" t="s">
        <v>447</v>
      </c>
      <c r="F12" s="2" t="s">
        <v>448</v>
      </c>
      <c r="G12" s="2" t="s">
        <v>392</v>
      </c>
      <c r="H12" s="2" t="s">
        <v>443</v>
      </c>
    </row>
    <row r="13" customFormat="false" ht="23.85" hidden="false" customHeight="false" outlineLevel="0" collapsed="false">
      <c r="A13" s="2" t="s">
        <v>449</v>
      </c>
      <c r="B13" s="2" t="s">
        <v>439</v>
      </c>
      <c r="C13" s="2" t="s">
        <v>450</v>
      </c>
      <c r="D13" s="2" t="s">
        <v>451</v>
      </c>
      <c r="E13" s="2" t="s">
        <v>71</v>
      </c>
      <c r="F13" s="2" t="s">
        <v>452</v>
      </c>
      <c r="G13" s="2" t="s">
        <v>392</v>
      </c>
      <c r="H13" s="2" t="s">
        <v>453</v>
      </c>
    </row>
    <row r="14" customFormat="false" ht="15" hidden="false" customHeight="false" outlineLevel="0" collapsed="false">
      <c r="A14" s="2" t="s">
        <v>454</v>
      </c>
      <c r="B14" s="2" t="s">
        <v>439</v>
      </c>
      <c r="C14" s="2" t="s">
        <v>455</v>
      </c>
      <c r="D14" s="2" t="s">
        <v>456</v>
      </c>
      <c r="E14" s="2" t="s">
        <v>71</v>
      </c>
      <c r="F14" s="2" t="s">
        <v>457</v>
      </c>
      <c r="G14" s="2" t="s">
        <v>392</v>
      </c>
      <c r="H14" s="2" t="s">
        <v>453</v>
      </c>
    </row>
    <row r="15" customFormat="false" ht="23.85" hidden="false" customHeight="false" outlineLevel="0" collapsed="false">
      <c r="A15" s="2" t="s">
        <v>458</v>
      </c>
      <c r="B15" s="2" t="s">
        <v>412</v>
      </c>
      <c r="C15" s="2" t="s">
        <v>459</v>
      </c>
      <c r="D15" s="2" t="s">
        <v>460</v>
      </c>
      <c r="E15" s="2" t="s">
        <v>461</v>
      </c>
      <c r="F15" s="2" t="s">
        <v>462</v>
      </c>
      <c r="G15" s="2" t="s">
        <v>392</v>
      </c>
      <c r="H15" s="2" t="s">
        <v>463</v>
      </c>
    </row>
    <row r="16" customFormat="false" ht="15" hidden="false" customHeight="false" outlineLevel="0" collapsed="false">
      <c r="A16" s="2" t="s">
        <v>464</v>
      </c>
      <c r="B16" s="2" t="s">
        <v>465</v>
      </c>
      <c r="C16" s="2" t="s">
        <v>466</v>
      </c>
      <c r="D16" s="2" t="s">
        <v>467</v>
      </c>
      <c r="E16" s="2" t="s">
        <v>468</v>
      </c>
      <c r="F16" s="2" t="s">
        <v>469</v>
      </c>
      <c r="G16" s="2" t="s">
        <v>392</v>
      </c>
      <c r="H16" s="2" t="s">
        <v>470</v>
      </c>
    </row>
    <row r="17" customFormat="false" ht="15" hidden="false" customHeight="false" outlineLevel="0" collapsed="false">
      <c r="A17" s="2" t="s">
        <v>471</v>
      </c>
      <c r="B17" s="2" t="s">
        <v>465</v>
      </c>
      <c r="C17" s="2" t="s">
        <v>472</v>
      </c>
      <c r="D17" s="2" t="s">
        <v>473</v>
      </c>
      <c r="E17" s="2" t="s">
        <v>474</v>
      </c>
      <c r="F17" s="2" t="s">
        <v>475</v>
      </c>
      <c r="G17" s="2" t="s">
        <v>392</v>
      </c>
      <c r="H17" s="2" t="s">
        <v>470</v>
      </c>
    </row>
    <row r="18" customFormat="false" ht="15" hidden="false" customHeight="false" outlineLevel="0" collapsed="false">
      <c r="A18" s="2" t="s">
        <v>476</v>
      </c>
      <c r="B18" s="2" t="s">
        <v>439</v>
      </c>
      <c r="C18" s="2" t="s">
        <v>477</v>
      </c>
      <c r="D18" s="2" t="s">
        <v>478</v>
      </c>
      <c r="E18" s="2" t="s">
        <v>479</v>
      </c>
      <c r="F18" s="2" t="s">
        <v>480</v>
      </c>
      <c r="G18" s="2" t="s">
        <v>392</v>
      </c>
      <c r="H18" s="2" t="s">
        <v>481</v>
      </c>
    </row>
    <row r="19" customFormat="false" ht="15" hidden="false" customHeight="false" outlineLevel="0" collapsed="false">
      <c r="A19" s="2" t="s">
        <v>482</v>
      </c>
      <c r="B19" s="2" t="s">
        <v>483</v>
      </c>
      <c r="C19" s="2" t="s">
        <v>484</v>
      </c>
      <c r="D19" s="2" t="s">
        <v>485</v>
      </c>
      <c r="E19" s="2" t="s">
        <v>486</v>
      </c>
      <c r="F19" s="2" t="s">
        <v>487</v>
      </c>
      <c r="G19" s="2" t="s">
        <v>392</v>
      </c>
      <c r="H19" s="2" t="s">
        <v>488</v>
      </c>
    </row>
    <row r="20" customFormat="false" ht="23.85" hidden="false" customHeight="false" outlineLevel="0" collapsed="false">
      <c r="A20" s="2" t="s">
        <v>489</v>
      </c>
      <c r="B20" s="2" t="s">
        <v>483</v>
      </c>
      <c r="C20" s="2" t="s">
        <v>490</v>
      </c>
      <c r="D20" s="2" t="s">
        <v>491</v>
      </c>
      <c r="E20" s="2" t="s">
        <v>492</v>
      </c>
      <c r="F20" s="2" t="s">
        <v>493</v>
      </c>
      <c r="G20" s="2" t="s">
        <v>392</v>
      </c>
      <c r="H20" s="2" t="s">
        <v>488</v>
      </c>
    </row>
    <row r="21" customFormat="false" ht="15" hidden="false" customHeight="false" outlineLevel="0" collapsed="false">
      <c r="A21" s="2" t="s">
        <v>494</v>
      </c>
      <c r="B21" s="2" t="s">
        <v>428</v>
      </c>
      <c r="C21" s="2" t="s">
        <v>257</v>
      </c>
      <c r="D21" s="2" t="s">
        <v>256</v>
      </c>
      <c r="E21" s="2" t="s">
        <v>495</v>
      </c>
      <c r="F21" s="2" t="s">
        <v>496</v>
      </c>
      <c r="G21" s="2" t="s">
        <v>392</v>
      </c>
      <c r="H21" s="2" t="s">
        <v>497</v>
      </c>
    </row>
    <row r="22" customFormat="false" ht="15" hidden="false" customHeight="false" outlineLevel="0" collapsed="false">
      <c r="A22" s="2" t="s">
        <v>498</v>
      </c>
      <c r="B22" s="2" t="s">
        <v>395</v>
      </c>
      <c r="C22" s="2" t="s">
        <v>499</v>
      </c>
      <c r="D22" s="2" t="s">
        <v>500</v>
      </c>
      <c r="E22" s="2" t="s">
        <v>501</v>
      </c>
      <c r="F22" s="2" t="s">
        <v>502</v>
      </c>
      <c r="G22" s="2" t="s">
        <v>392</v>
      </c>
      <c r="H22" s="2" t="s">
        <v>503</v>
      </c>
    </row>
    <row r="23" customFormat="false" ht="15" hidden="false" customHeight="false" outlineLevel="0" collapsed="false">
      <c r="A23" s="2" t="s">
        <v>504</v>
      </c>
      <c r="B23" s="2" t="s">
        <v>395</v>
      </c>
      <c r="C23" s="2" t="s">
        <v>505</v>
      </c>
      <c r="D23" s="2" t="s">
        <v>506</v>
      </c>
      <c r="E23" s="2" t="s">
        <v>507</v>
      </c>
      <c r="F23" s="2" t="s">
        <v>508</v>
      </c>
      <c r="G23" s="2" t="s">
        <v>392</v>
      </c>
      <c r="H23" s="2" t="s">
        <v>370</v>
      </c>
    </row>
    <row r="24" customFormat="false" ht="15" hidden="false" customHeight="false" outlineLevel="0" collapsed="false">
      <c r="A24" s="2" t="s">
        <v>509</v>
      </c>
      <c r="B24" s="2" t="s">
        <v>510</v>
      </c>
      <c r="C24" s="2" t="s">
        <v>511</v>
      </c>
      <c r="D24" s="2" t="s">
        <v>512</v>
      </c>
      <c r="E24" s="2" t="s">
        <v>513</v>
      </c>
      <c r="F24" s="2" t="s">
        <v>514</v>
      </c>
      <c r="G24" s="2" t="s">
        <v>392</v>
      </c>
      <c r="H24" s="2" t="s">
        <v>488</v>
      </c>
    </row>
    <row r="25" customFormat="false" ht="23.85" hidden="false" customHeight="false" outlineLevel="0" collapsed="false">
      <c r="A25" s="2" t="s">
        <v>515</v>
      </c>
      <c r="B25" s="2" t="s">
        <v>516</v>
      </c>
      <c r="C25" s="2" t="s">
        <v>517</v>
      </c>
      <c r="D25" s="2" t="s">
        <v>518</v>
      </c>
      <c r="E25" s="2" t="s">
        <v>519</v>
      </c>
      <c r="F25" s="2" t="s">
        <v>520</v>
      </c>
      <c r="G25" s="2" t="s">
        <v>392</v>
      </c>
      <c r="H25" s="2" t="s">
        <v>503</v>
      </c>
    </row>
    <row r="26" customFormat="false" ht="23.85" hidden="false" customHeight="false" outlineLevel="0" collapsed="false">
      <c r="A26" s="2" t="s">
        <v>521</v>
      </c>
      <c r="B26" s="2" t="s">
        <v>428</v>
      </c>
      <c r="C26" s="2" t="s">
        <v>522</v>
      </c>
      <c r="D26" s="2" t="s">
        <v>523</v>
      </c>
      <c r="E26" s="2" t="s">
        <v>524</v>
      </c>
      <c r="F26" s="2" t="s">
        <v>525</v>
      </c>
      <c r="G26" s="2" t="s">
        <v>392</v>
      </c>
      <c r="H26" s="2" t="s">
        <v>526</v>
      </c>
    </row>
    <row r="27" customFormat="false" ht="15" hidden="false" customHeight="false" outlineLevel="0" collapsed="false">
      <c r="A27" s="2" t="s">
        <v>527</v>
      </c>
      <c r="B27" s="2" t="s">
        <v>428</v>
      </c>
      <c r="C27" s="2" t="s">
        <v>528</v>
      </c>
      <c r="D27" s="2" t="s">
        <v>77</v>
      </c>
      <c r="E27" s="2" t="s">
        <v>529</v>
      </c>
      <c r="F27" s="2" t="s">
        <v>530</v>
      </c>
      <c r="G27" s="2" t="s">
        <v>392</v>
      </c>
      <c r="H27" s="2" t="s">
        <v>531</v>
      </c>
    </row>
    <row r="28" customFormat="false" ht="15" hidden="false" customHeight="false" outlineLevel="0" collapsed="false">
      <c r="A28" s="2" t="s">
        <v>532</v>
      </c>
      <c r="B28" s="2" t="s">
        <v>439</v>
      </c>
      <c r="C28" s="2" t="s">
        <v>533</v>
      </c>
      <c r="D28" s="2" t="s">
        <v>534</v>
      </c>
      <c r="E28" s="2" t="s">
        <v>535</v>
      </c>
      <c r="F28" s="2" t="s">
        <v>536</v>
      </c>
      <c r="G28" s="2" t="s">
        <v>392</v>
      </c>
      <c r="H28" s="2" t="s">
        <v>537</v>
      </c>
    </row>
    <row r="29" customFormat="false" ht="23.85" hidden="false" customHeight="false" outlineLevel="0" collapsed="false">
      <c r="A29" s="2" t="s">
        <v>538</v>
      </c>
      <c r="B29" s="2" t="s">
        <v>439</v>
      </c>
      <c r="C29" s="2" t="s">
        <v>539</v>
      </c>
      <c r="D29" s="2" t="s">
        <v>540</v>
      </c>
      <c r="E29" s="2" t="s">
        <v>541</v>
      </c>
      <c r="F29" s="2" t="s">
        <v>542</v>
      </c>
      <c r="G29" s="2" t="s">
        <v>392</v>
      </c>
      <c r="H29" s="2" t="s">
        <v>543</v>
      </c>
    </row>
    <row r="30" customFormat="false" ht="15" hidden="false" customHeight="false" outlineLevel="0" collapsed="false">
      <c r="A30" s="2" t="s">
        <v>544</v>
      </c>
      <c r="B30" s="2" t="s">
        <v>545</v>
      </c>
      <c r="C30" s="2" t="s">
        <v>546</v>
      </c>
      <c r="D30" s="2" t="s">
        <v>547</v>
      </c>
      <c r="E30" s="2" t="s">
        <v>548</v>
      </c>
      <c r="F30" s="2" t="s">
        <v>549</v>
      </c>
      <c r="G30" s="2" t="s">
        <v>392</v>
      </c>
      <c r="H30" s="2" t="s">
        <v>550</v>
      </c>
    </row>
    <row r="31" customFormat="false" ht="23.85" hidden="false" customHeight="false" outlineLevel="0" collapsed="false">
      <c r="A31" s="2" t="s">
        <v>551</v>
      </c>
      <c r="B31" s="2" t="s">
        <v>428</v>
      </c>
      <c r="C31" s="2" t="s">
        <v>9</v>
      </c>
      <c r="D31" s="2" t="s">
        <v>552</v>
      </c>
      <c r="E31" s="2" t="s">
        <v>553</v>
      </c>
      <c r="F31" s="2" t="s">
        <v>554</v>
      </c>
      <c r="G31" s="2" t="s">
        <v>392</v>
      </c>
      <c r="H31" s="2" t="s">
        <v>378</v>
      </c>
    </row>
    <row r="32" customFormat="false" ht="15" hidden="false" customHeight="false" outlineLevel="0" collapsed="false">
      <c r="A32" s="2" t="s">
        <v>555</v>
      </c>
      <c r="B32" s="2" t="s">
        <v>428</v>
      </c>
      <c r="C32" s="2" t="s">
        <v>556</v>
      </c>
      <c r="D32" s="2" t="s">
        <v>557</v>
      </c>
      <c r="E32" s="2" t="s">
        <v>558</v>
      </c>
      <c r="F32" s="2" t="s">
        <v>559</v>
      </c>
      <c r="G32" s="2" t="s">
        <v>392</v>
      </c>
      <c r="H32" s="2" t="s">
        <v>378</v>
      </c>
    </row>
    <row r="33" customFormat="false" ht="23.85" hidden="false" customHeight="false" outlineLevel="0" collapsed="false">
      <c r="A33" s="2" t="s">
        <v>560</v>
      </c>
      <c r="B33" s="2" t="s">
        <v>428</v>
      </c>
      <c r="C33" s="2" t="s">
        <v>561</v>
      </c>
      <c r="D33" s="2" t="s">
        <v>562</v>
      </c>
      <c r="E33" s="2" t="s">
        <v>563</v>
      </c>
      <c r="F33" s="2" t="s">
        <v>564</v>
      </c>
      <c r="G33" s="2" t="s">
        <v>392</v>
      </c>
      <c r="H33" s="2" t="s">
        <v>565</v>
      </c>
    </row>
    <row r="34" customFormat="false" ht="23.85" hidden="false" customHeight="false" outlineLevel="0" collapsed="false">
      <c r="A34" s="2" t="s">
        <v>566</v>
      </c>
      <c r="B34" s="2" t="s">
        <v>395</v>
      </c>
      <c r="C34" s="2" t="s">
        <v>567</v>
      </c>
      <c r="D34" s="2" t="s">
        <v>568</v>
      </c>
      <c r="E34" s="2" t="s">
        <v>569</v>
      </c>
      <c r="F34" s="2" t="s">
        <v>570</v>
      </c>
      <c r="G34" s="2" t="s">
        <v>392</v>
      </c>
      <c r="H34" s="2" t="s">
        <v>327</v>
      </c>
    </row>
    <row r="35" customFormat="false" ht="35.05" hidden="false" customHeight="false" outlineLevel="0" collapsed="false">
      <c r="A35" s="2" t="s">
        <v>571</v>
      </c>
      <c r="B35" s="2" t="s">
        <v>572</v>
      </c>
      <c r="C35" s="2" t="s">
        <v>573</v>
      </c>
      <c r="D35" s="2" t="s">
        <v>574</v>
      </c>
      <c r="E35" s="2" t="s">
        <v>71</v>
      </c>
      <c r="F35" s="2" t="s">
        <v>575</v>
      </c>
      <c r="G35" s="2" t="s">
        <v>392</v>
      </c>
      <c r="H35" s="2" t="s">
        <v>488</v>
      </c>
    </row>
    <row r="36" customFormat="false" ht="23.85" hidden="false" customHeight="false" outlineLevel="0" collapsed="false">
      <c r="A36" s="2" t="s">
        <v>576</v>
      </c>
      <c r="B36" s="2" t="s">
        <v>395</v>
      </c>
      <c r="C36" s="2" t="s">
        <v>577</v>
      </c>
      <c r="D36" s="2" t="s">
        <v>578</v>
      </c>
      <c r="E36" s="2" t="s">
        <v>579</v>
      </c>
      <c r="F36" s="2" t="s">
        <v>580</v>
      </c>
      <c r="G36" s="2" t="s">
        <v>392</v>
      </c>
      <c r="H36" s="2" t="s">
        <v>426</v>
      </c>
    </row>
  </sheetData>
  <autoFilter ref="A1:H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48"/>
    <col collapsed="false" customWidth="true" hidden="false" outlineLevel="0" max="4" min="4" style="0" width="26"/>
    <col collapsed="false" customWidth="true" hidden="false" outlineLevel="0" max="5" min="5" style="0" width="24"/>
    <col collapsed="false" customWidth="true" hidden="false" outlineLevel="0" max="6" min="6" style="0" width="26"/>
    <col collapsed="false" customWidth="true" hidden="false" outlineLevel="0" max="7" min="7" style="0" width="10"/>
  </cols>
  <sheetData>
    <row r="1" customFormat="false" ht="15" hidden="false" customHeight="false" outlineLevel="0" collapsed="false">
      <c r="A1" s="1" t="s">
        <v>581</v>
      </c>
      <c r="B1" s="1" t="s">
        <v>380</v>
      </c>
      <c r="C1" s="1" t="s">
        <v>582</v>
      </c>
      <c r="D1" s="1" t="s">
        <v>583</v>
      </c>
      <c r="E1" s="1" t="s">
        <v>584</v>
      </c>
      <c r="F1" s="1" t="s">
        <v>585</v>
      </c>
      <c r="G1" s="1" t="s">
        <v>7</v>
      </c>
    </row>
    <row r="2" customFormat="false" ht="15" hidden="false" customHeight="false" outlineLevel="0" collapsed="false">
      <c r="A2" s="2" t="s">
        <v>393</v>
      </c>
      <c r="B2" s="2" t="s">
        <v>586</v>
      </c>
      <c r="C2" s="2" t="s">
        <v>587</v>
      </c>
      <c r="D2" s="2" t="s">
        <v>588</v>
      </c>
      <c r="E2" s="2" t="s">
        <v>589</v>
      </c>
      <c r="F2" s="2" t="s">
        <v>590</v>
      </c>
      <c r="G2" s="2" t="s">
        <v>591</v>
      </c>
    </row>
    <row r="3" customFormat="false" ht="23.85" hidden="false" customHeight="false" outlineLevel="0" collapsed="false">
      <c r="A3" s="2" t="s">
        <v>399</v>
      </c>
      <c r="B3" s="2" t="s">
        <v>397</v>
      </c>
      <c r="C3" s="2" t="s">
        <v>592</v>
      </c>
      <c r="D3" s="2" t="s">
        <v>101</v>
      </c>
      <c r="E3" s="2" t="s">
        <v>593</v>
      </c>
      <c r="F3" s="2" t="s">
        <v>394</v>
      </c>
      <c r="G3" s="2" t="s">
        <v>591</v>
      </c>
    </row>
    <row r="4" customFormat="false" ht="23.85" hidden="false" customHeight="false" outlineLevel="0" collapsed="false">
      <c r="A4" s="2" t="s">
        <v>594</v>
      </c>
      <c r="B4" s="2" t="s">
        <v>595</v>
      </c>
      <c r="C4" s="2" t="s">
        <v>596</v>
      </c>
      <c r="D4" s="2" t="s">
        <v>597</v>
      </c>
      <c r="E4" s="2" t="s">
        <v>598</v>
      </c>
      <c r="F4" s="2" t="s">
        <v>599</v>
      </c>
      <c r="G4" s="2" t="s">
        <v>591</v>
      </c>
    </row>
    <row r="5" customFormat="false" ht="23.85" hidden="false" customHeight="false" outlineLevel="0" collapsed="false">
      <c r="A5" s="2" t="s">
        <v>416</v>
      </c>
      <c r="B5" s="2" t="s">
        <v>216</v>
      </c>
      <c r="C5" s="2" t="s">
        <v>600</v>
      </c>
      <c r="D5" s="2" t="s">
        <v>601</v>
      </c>
      <c r="E5" s="2" t="s">
        <v>598</v>
      </c>
      <c r="F5" s="2" t="s">
        <v>602</v>
      </c>
      <c r="G5" s="2" t="s">
        <v>591</v>
      </c>
    </row>
    <row r="6" customFormat="false" ht="23.85" hidden="false" customHeight="false" outlineLevel="0" collapsed="false">
      <c r="A6" s="2" t="s">
        <v>603</v>
      </c>
      <c r="B6" s="2" t="s">
        <v>604</v>
      </c>
      <c r="C6" s="2" t="s">
        <v>605</v>
      </c>
      <c r="D6" s="2" t="s">
        <v>606</v>
      </c>
      <c r="E6" s="2" t="s">
        <v>598</v>
      </c>
      <c r="F6" s="2" t="s">
        <v>607</v>
      </c>
      <c r="G6" s="2" t="s">
        <v>591</v>
      </c>
    </row>
    <row r="7" customFormat="false" ht="15" hidden="false" customHeight="false" outlineLevel="0" collapsed="false">
      <c r="A7" s="2" t="s">
        <v>497</v>
      </c>
      <c r="B7" s="2" t="s">
        <v>257</v>
      </c>
      <c r="C7" s="2" t="s">
        <v>608</v>
      </c>
      <c r="D7" s="2" t="s">
        <v>609</v>
      </c>
      <c r="E7" s="2" t="s">
        <v>22</v>
      </c>
      <c r="F7" s="2" t="s">
        <v>494</v>
      </c>
      <c r="G7" s="2" t="s">
        <v>591</v>
      </c>
    </row>
    <row r="8" customFormat="false" ht="23.85" hidden="false" customHeight="false" outlineLevel="0" collapsed="false">
      <c r="A8" s="2" t="s">
        <v>443</v>
      </c>
      <c r="B8" s="2" t="s">
        <v>149</v>
      </c>
      <c r="C8" s="2" t="s">
        <v>610</v>
      </c>
      <c r="D8" s="2" t="s">
        <v>611</v>
      </c>
      <c r="E8" s="2" t="s">
        <v>163</v>
      </c>
      <c r="F8" s="2" t="s">
        <v>612</v>
      </c>
      <c r="G8" s="2" t="s">
        <v>591</v>
      </c>
    </row>
    <row r="9" customFormat="false" ht="23.85" hidden="false" customHeight="false" outlineLevel="0" collapsed="false">
      <c r="A9" s="2" t="s">
        <v>613</v>
      </c>
      <c r="B9" s="2" t="s">
        <v>614</v>
      </c>
      <c r="C9" s="2" t="s">
        <v>615</v>
      </c>
      <c r="D9" s="2" t="s">
        <v>616</v>
      </c>
      <c r="E9" s="2" t="s">
        <v>22</v>
      </c>
      <c r="F9" s="2" t="s">
        <v>421</v>
      </c>
      <c r="G9" s="2" t="s">
        <v>591</v>
      </c>
    </row>
    <row r="10" customFormat="false" ht="15" hidden="false" customHeight="false" outlineLevel="0" collapsed="false">
      <c r="A10" s="2" t="s">
        <v>617</v>
      </c>
      <c r="B10" s="2" t="s">
        <v>618</v>
      </c>
      <c r="C10" s="2" t="s">
        <v>619</v>
      </c>
      <c r="D10" s="2" t="s">
        <v>165</v>
      </c>
      <c r="E10" s="2" t="s">
        <v>173</v>
      </c>
      <c r="F10" s="2" t="s">
        <v>318</v>
      </c>
      <c r="G10" s="2" t="s">
        <v>591</v>
      </c>
    </row>
    <row r="11" customFormat="false" ht="15" hidden="false" customHeight="false" outlineLevel="0" collapsed="false">
      <c r="A11" s="2" t="s">
        <v>463</v>
      </c>
      <c r="B11" s="2" t="s">
        <v>620</v>
      </c>
      <c r="C11" s="2" t="s">
        <v>459</v>
      </c>
      <c r="D11" s="2" t="s">
        <v>616</v>
      </c>
      <c r="E11" s="2" t="s">
        <v>593</v>
      </c>
      <c r="F11" s="2" t="s">
        <v>458</v>
      </c>
      <c r="G11" s="2" t="s">
        <v>591</v>
      </c>
    </row>
    <row r="12" customFormat="false" ht="35.05" hidden="false" customHeight="false" outlineLevel="0" collapsed="false">
      <c r="A12" s="2" t="s">
        <v>621</v>
      </c>
      <c r="B12" s="2" t="s">
        <v>622</v>
      </c>
      <c r="C12" s="2" t="s">
        <v>623</v>
      </c>
      <c r="D12" s="2" t="s">
        <v>624</v>
      </c>
      <c r="E12" s="2" t="s">
        <v>173</v>
      </c>
      <c r="F12" s="2" t="s">
        <v>625</v>
      </c>
      <c r="G12" s="2" t="s">
        <v>591</v>
      </c>
    </row>
    <row r="13" customFormat="false" ht="23.85" hidden="false" customHeight="false" outlineLevel="0" collapsed="false">
      <c r="A13" s="2" t="s">
        <v>370</v>
      </c>
      <c r="B13" s="2" t="s">
        <v>37</v>
      </c>
      <c r="C13" s="2" t="s">
        <v>626</v>
      </c>
      <c r="D13" s="2" t="s">
        <v>627</v>
      </c>
      <c r="E13" s="2" t="s">
        <v>628</v>
      </c>
      <c r="F13" s="2" t="s">
        <v>629</v>
      </c>
      <c r="G13" s="2" t="s">
        <v>591</v>
      </c>
    </row>
    <row r="14" customFormat="false" ht="23.85" hidden="false" customHeight="false" outlineLevel="0" collapsed="false">
      <c r="A14" s="2" t="s">
        <v>453</v>
      </c>
      <c r="B14" s="2" t="s">
        <v>630</v>
      </c>
      <c r="C14" s="2" t="s">
        <v>631</v>
      </c>
      <c r="D14" s="2" t="s">
        <v>632</v>
      </c>
      <c r="E14" s="2" t="s">
        <v>22</v>
      </c>
      <c r="F14" s="2" t="s">
        <v>633</v>
      </c>
      <c r="G14" s="2" t="s">
        <v>591</v>
      </c>
    </row>
    <row r="15" customFormat="false" ht="15" hidden="false" customHeight="false" outlineLevel="0" collapsed="false">
      <c r="A15" s="2" t="s">
        <v>351</v>
      </c>
      <c r="B15" s="2" t="s">
        <v>634</v>
      </c>
      <c r="C15" s="2" t="s">
        <v>635</v>
      </c>
      <c r="D15" s="2" t="s">
        <v>636</v>
      </c>
      <c r="E15" s="2" t="s">
        <v>593</v>
      </c>
      <c r="F15" s="2" t="s">
        <v>636</v>
      </c>
      <c r="G15" s="2" t="s">
        <v>591</v>
      </c>
    </row>
    <row r="16" customFormat="false" ht="35.05" hidden="false" customHeight="false" outlineLevel="0" collapsed="false">
      <c r="A16" s="2" t="s">
        <v>378</v>
      </c>
      <c r="B16" s="2" t="s">
        <v>637</v>
      </c>
      <c r="C16" s="2" t="s">
        <v>638</v>
      </c>
      <c r="D16" s="2" t="s">
        <v>639</v>
      </c>
      <c r="E16" s="2" t="s">
        <v>640</v>
      </c>
      <c r="F16" s="2" t="s">
        <v>641</v>
      </c>
      <c r="G16" s="2" t="s">
        <v>591</v>
      </c>
    </row>
    <row r="17" customFormat="false" ht="23.85" hidden="false" customHeight="false" outlineLevel="0" collapsed="false">
      <c r="A17" s="2" t="s">
        <v>503</v>
      </c>
      <c r="B17" s="2" t="s">
        <v>642</v>
      </c>
      <c r="C17" s="2" t="s">
        <v>643</v>
      </c>
      <c r="D17" s="2" t="s">
        <v>644</v>
      </c>
      <c r="E17" s="2" t="s">
        <v>22</v>
      </c>
      <c r="F17" s="2" t="s">
        <v>645</v>
      </c>
      <c r="G17" s="2" t="s">
        <v>591</v>
      </c>
    </row>
    <row r="18" customFormat="false" ht="15" hidden="false" customHeight="false" outlineLevel="0" collapsed="false">
      <c r="A18" s="2" t="s">
        <v>481</v>
      </c>
      <c r="B18" s="2" t="s">
        <v>646</v>
      </c>
      <c r="C18" s="2" t="s">
        <v>647</v>
      </c>
      <c r="D18" s="2" t="s">
        <v>648</v>
      </c>
      <c r="E18" s="2" t="s">
        <v>649</v>
      </c>
      <c r="F18" s="2" t="s">
        <v>476</v>
      </c>
      <c r="G18" s="2" t="s">
        <v>591</v>
      </c>
    </row>
    <row r="19" customFormat="false" ht="23.85" hidden="false" customHeight="false" outlineLevel="0" collapsed="false">
      <c r="A19" s="2" t="s">
        <v>327</v>
      </c>
      <c r="B19" s="2" t="s">
        <v>650</v>
      </c>
      <c r="C19" s="2" t="s">
        <v>651</v>
      </c>
      <c r="D19" s="2" t="s">
        <v>652</v>
      </c>
      <c r="E19" s="2" t="s">
        <v>173</v>
      </c>
      <c r="F19" s="2" t="s">
        <v>566</v>
      </c>
      <c r="G19" s="2" t="s">
        <v>591</v>
      </c>
    </row>
    <row r="20" customFormat="false" ht="15" hidden="false" customHeight="false" outlineLevel="0" collapsed="false">
      <c r="A20" s="2" t="s">
        <v>470</v>
      </c>
      <c r="B20" s="2" t="s">
        <v>653</v>
      </c>
      <c r="C20" s="2" t="s">
        <v>654</v>
      </c>
      <c r="D20" s="2" t="s">
        <v>655</v>
      </c>
      <c r="E20" s="2" t="s">
        <v>649</v>
      </c>
      <c r="F20" s="2" t="s">
        <v>656</v>
      </c>
      <c r="G20" s="2" t="s">
        <v>591</v>
      </c>
    </row>
    <row r="21" customFormat="false" ht="23.85" hidden="false" customHeight="false" outlineLevel="0" collapsed="false">
      <c r="A21" s="2" t="s">
        <v>488</v>
      </c>
      <c r="B21" s="2" t="s">
        <v>657</v>
      </c>
      <c r="C21" s="2" t="s">
        <v>658</v>
      </c>
      <c r="D21" s="2" t="s">
        <v>659</v>
      </c>
      <c r="E21" s="2" t="s">
        <v>22</v>
      </c>
      <c r="F21" s="2" t="s">
        <v>660</v>
      </c>
      <c r="G21" s="2" t="s">
        <v>591</v>
      </c>
    </row>
    <row r="22" customFormat="false" ht="15" hidden="false" customHeight="false" outlineLevel="0" collapsed="false">
      <c r="A22" s="2" t="s">
        <v>537</v>
      </c>
      <c r="B22" s="2" t="s">
        <v>661</v>
      </c>
      <c r="C22" s="2" t="s">
        <v>662</v>
      </c>
      <c r="D22" s="2" t="s">
        <v>663</v>
      </c>
      <c r="E22" s="2" t="s">
        <v>664</v>
      </c>
      <c r="F22" s="2" t="s">
        <v>665</v>
      </c>
      <c r="G22" s="2" t="s">
        <v>591</v>
      </c>
    </row>
    <row r="23" customFormat="false" ht="23.85" hidden="false" customHeight="false" outlineLevel="0" collapsed="false">
      <c r="A23" s="2" t="s">
        <v>666</v>
      </c>
      <c r="B23" s="2" t="s">
        <v>667</v>
      </c>
      <c r="C23" s="2" t="s">
        <v>668</v>
      </c>
      <c r="D23" s="2" t="s">
        <v>669</v>
      </c>
      <c r="E23" s="2" t="s">
        <v>670</v>
      </c>
      <c r="F23" s="2" t="s">
        <v>671</v>
      </c>
      <c r="G23" s="2" t="s">
        <v>591</v>
      </c>
    </row>
    <row r="24" customFormat="false" ht="15" hidden="false" customHeight="false" outlineLevel="0" collapsed="false">
      <c r="A24" s="2" t="s">
        <v>531</v>
      </c>
      <c r="B24" s="2" t="s">
        <v>672</v>
      </c>
      <c r="C24" s="2" t="s">
        <v>673</v>
      </c>
      <c r="D24" s="2" t="s">
        <v>674</v>
      </c>
      <c r="E24" s="2" t="s">
        <v>664</v>
      </c>
      <c r="F24" s="2" t="s">
        <v>527</v>
      </c>
      <c r="G24" s="2" t="s">
        <v>591</v>
      </c>
    </row>
    <row r="25" customFormat="false" ht="15" hidden="false" customHeight="false" outlineLevel="0" collapsed="false">
      <c r="A25" s="2" t="s">
        <v>543</v>
      </c>
      <c r="B25" s="2" t="s">
        <v>84</v>
      </c>
      <c r="C25" s="2" t="s">
        <v>675</v>
      </c>
      <c r="D25" s="2" t="s">
        <v>84</v>
      </c>
      <c r="E25" s="2" t="s">
        <v>676</v>
      </c>
      <c r="F25" s="2" t="s">
        <v>538</v>
      </c>
      <c r="G25" s="2" t="s">
        <v>591</v>
      </c>
    </row>
    <row r="26" customFormat="false" ht="15" hidden="false" customHeight="false" outlineLevel="0" collapsed="false">
      <c r="A26" s="2" t="s">
        <v>526</v>
      </c>
      <c r="B26" s="2" t="s">
        <v>677</v>
      </c>
      <c r="C26" s="2" t="s">
        <v>678</v>
      </c>
      <c r="D26" s="2" t="s">
        <v>679</v>
      </c>
      <c r="E26" s="2" t="s">
        <v>593</v>
      </c>
      <c r="F26" s="2" t="s">
        <v>521</v>
      </c>
      <c r="G26" s="2" t="s">
        <v>591</v>
      </c>
    </row>
    <row r="27" customFormat="false" ht="15" hidden="false" customHeight="false" outlineLevel="0" collapsed="false">
      <c r="A27" s="2" t="s">
        <v>550</v>
      </c>
      <c r="B27" s="2" t="s">
        <v>546</v>
      </c>
      <c r="C27" s="2" t="s">
        <v>680</v>
      </c>
      <c r="D27" s="2" t="s">
        <v>120</v>
      </c>
      <c r="E27" s="2" t="s">
        <v>128</v>
      </c>
      <c r="F27" s="2" t="s">
        <v>681</v>
      </c>
      <c r="G27" s="2" t="s">
        <v>591</v>
      </c>
    </row>
    <row r="28" customFormat="false" ht="35.05" hidden="false" customHeight="false" outlineLevel="0" collapsed="false">
      <c r="A28" s="2" t="s">
        <v>426</v>
      </c>
      <c r="B28" s="2" t="s">
        <v>682</v>
      </c>
      <c r="C28" s="2" t="s">
        <v>683</v>
      </c>
      <c r="D28" s="2" t="s">
        <v>684</v>
      </c>
      <c r="E28" s="2" t="s">
        <v>649</v>
      </c>
      <c r="F28" s="2" t="s">
        <v>685</v>
      </c>
      <c r="G28" s="2" t="s">
        <v>591</v>
      </c>
    </row>
    <row r="29" customFormat="false" ht="15" hidden="false" customHeight="false" outlineLevel="0" collapsed="false">
      <c r="A29" s="2" t="s">
        <v>437</v>
      </c>
      <c r="B29" s="2" t="s">
        <v>97</v>
      </c>
      <c r="C29" s="2" t="s">
        <v>686</v>
      </c>
      <c r="D29" s="2" t="s">
        <v>101</v>
      </c>
      <c r="E29" s="2" t="s">
        <v>22</v>
      </c>
      <c r="F29" s="2" t="s">
        <v>433</v>
      </c>
      <c r="G29" s="2" t="s">
        <v>591</v>
      </c>
    </row>
    <row r="30" customFormat="false" ht="15" hidden="false" customHeight="false" outlineLevel="0" collapsed="false">
      <c r="A30" s="2" t="s">
        <v>565</v>
      </c>
      <c r="B30" s="2" t="s">
        <v>687</v>
      </c>
      <c r="C30" s="2" t="s">
        <v>688</v>
      </c>
      <c r="D30" s="2" t="s">
        <v>689</v>
      </c>
      <c r="E30" s="2" t="s">
        <v>649</v>
      </c>
      <c r="F30" s="2" t="s">
        <v>560</v>
      </c>
      <c r="G30" s="2" t="s">
        <v>591</v>
      </c>
    </row>
    <row r="31" customFormat="false" ht="23.85" hidden="false" customHeight="false" outlineLevel="0" collapsed="false">
      <c r="A31" s="2" t="s">
        <v>690</v>
      </c>
      <c r="B31" s="2" t="s">
        <v>691</v>
      </c>
      <c r="C31" s="2" t="s">
        <v>692</v>
      </c>
      <c r="D31" s="2" t="s">
        <v>693</v>
      </c>
      <c r="E31" s="2" t="s">
        <v>649</v>
      </c>
      <c r="F31" s="2" t="s">
        <v>71</v>
      </c>
      <c r="G31" s="2" t="s">
        <v>591</v>
      </c>
    </row>
    <row r="32" customFormat="false" ht="79.85" hidden="false" customHeight="false" outlineLevel="0" collapsed="false">
      <c r="A32" s="2" t="s">
        <v>694</v>
      </c>
      <c r="B32" s="2" t="s">
        <v>695</v>
      </c>
      <c r="C32" s="2" t="s">
        <v>696</v>
      </c>
      <c r="D32" s="2" t="s">
        <v>697</v>
      </c>
      <c r="E32" s="2" t="s">
        <v>698</v>
      </c>
      <c r="F32" s="2" t="s">
        <v>699</v>
      </c>
      <c r="G32" s="2" t="s">
        <v>591</v>
      </c>
    </row>
    <row r="33" customFormat="false" ht="35.05" hidden="false" customHeight="false" outlineLevel="0" collapsed="false">
      <c r="A33" s="2" t="s">
        <v>700</v>
      </c>
      <c r="B33" s="2" t="s">
        <v>701</v>
      </c>
      <c r="C33" s="2" t="s">
        <v>702</v>
      </c>
      <c r="D33" s="2" t="s">
        <v>689</v>
      </c>
      <c r="E33" s="2" t="s">
        <v>649</v>
      </c>
      <c r="F33" s="2" t="s">
        <v>703</v>
      </c>
      <c r="G33" s="2" t="s">
        <v>591</v>
      </c>
    </row>
  </sheetData>
  <autoFilter ref="A1:G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4" min="3" style="0" width="10"/>
    <col collapsed="false" customWidth="true" hidden="false" outlineLevel="0" max="5" min="5" style="0" width="34"/>
    <col collapsed="false" customWidth="true" hidden="false" outlineLevel="0" max="6" min="6" style="0" width="80"/>
  </cols>
  <sheetData>
    <row r="1" customFormat="false" ht="15" hidden="false" customHeight="false" outlineLevel="0" collapsed="false">
      <c r="A1" s="1" t="s">
        <v>704</v>
      </c>
      <c r="B1" s="1" t="s">
        <v>705</v>
      </c>
      <c r="C1" s="1" t="s">
        <v>706</v>
      </c>
      <c r="D1" s="1" t="s">
        <v>707</v>
      </c>
      <c r="E1" s="1" t="s">
        <v>7</v>
      </c>
      <c r="F1" s="1" t="s">
        <v>12</v>
      </c>
    </row>
    <row r="2" customFormat="false" ht="15" hidden="false" customHeight="false" outlineLevel="0" collapsed="false">
      <c r="A2" s="3" t="n">
        <v>1</v>
      </c>
      <c r="B2" s="3" t="s">
        <v>708</v>
      </c>
      <c r="C2" s="3" t="n">
        <v>8</v>
      </c>
      <c r="D2" s="3" t="n">
        <f aca="false">COUNTA('Transactional Catalog'!A2:A100)</f>
        <v>8</v>
      </c>
      <c r="E2" s="3" t="str">
        <f aca="false">IF(D2=C2,"Pass","Fail")</f>
        <v>Pass</v>
      </c>
      <c r="F2" s="3" t="s">
        <v>709</v>
      </c>
    </row>
    <row r="3" customFormat="false" ht="15" hidden="false" customHeight="false" outlineLevel="0" collapsed="false">
      <c r="A3" s="3" t="n">
        <v>2</v>
      </c>
      <c r="B3" s="3" t="s">
        <v>710</v>
      </c>
      <c r="C3" s="3" t="n">
        <v>8</v>
      </c>
      <c r="D3" s="3" t="n">
        <f aca="false">COUNTA('Reference Catalog'!A2:A100)</f>
        <v>8</v>
      </c>
      <c r="E3" s="3" t="str">
        <f aca="false">IF(D3=C3,"Pass","Fail")</f>
        <v>Pass</v>
      </c>
      <c r="F3" s="3" t="s">
        <v>711</v>
      </c>
    </row>
    <row r="4" customFormat="false" ht="15" hidden="false" customHeight="false" outlineLevel="0" collapsed="false">
      <c r="A4" s="3" t="n">
        <v>3</v>
      </c>
      <c r="B4" s="3" t="s">
        <v>712</v>
      </c>
      <c r="C4" s="3" t="n">
        <v>8</v>
      </c>
      <c r="D4" s="3" t="n">
        <f aca="false">SUMPRODUCT(('Transactional Catalog'!E2:E9&lt;&gt;"")*('Transactional Catalog'!F2:F9&lt;&gt;""))</f>
        <v>8</v>
      </c>
      <c r="E4" s="3" t="str">
        <f aca="false">IF(D4=C4,"Pass","Fail")</f>
        <v>Pass</v>
      </c>
      <c r="F4" s="3"/>
    </row>
    <row r="5" customFormat="false" ht="15" hidden="false" customHeight="false" outlineLevel="0" collapsed="false">
      <c r="A5" s="3" t="n">
        <v>4</v>
      </c>
      <c r="B5" s="3" t="s">
        <v>713</v>
      </c>
      <c r="C5" s="3" t="n">
        <v>8</v>
      </c>
      <c r="D5" s="3" t="n">
        <f aca="false">SUMPRODUCT(('Reference Catalog'!B2:B9&lt;&gt;"")*('Reference Catalog'!C2:C9&lt;&gt;""))</f>
        <v>8</v>
      </c>
      <c r="E5" s="3" t="str">
        <f aca="false">IF(D5=C5,"Pass","Fail")</f>
        <v>Pass</v>
      </c>
      <c r="F5" s="3"/>
    </row>
    <row r="6" customFormat="false" ht="15" hidden="false" customHeight="false" outlineLevel="0" collapsed="false">
      <c r="A6" s="3" t="n">
        <v>5</v>
      </c>
      <c r="B6" s="3" t="s">
        <v>714</v>
      </c>
      <c r="C6" s="3" t="n">
        <v>8</v>
      </c>
      <c r="D6" s="3" t="n">
        <f aca="false">SUMPRODUCT(('Transactional Catalog'!H2:H9&lt;&gt;"—")*('Transactional Catalog'!H2:H9&lt;&gt;""))</f>
        <v>6</v>
      </c>
      <c r="E6" s="3" t="str">
        <f aca="false">IF(D6=C6,"Pass","Warn")</f>
        <v>Warn</v>
      </c>
      <c r="F6" s="3" t="s">
        <v>715</v>
      </c>
    </row>
    <row r="7" customFormat="false" ht="15" hidden="false" customHeight="false" outlineLevel="0" collapsed="false">
      <c r="A7" s="3" t="n">
        <v>6</v>
      </c>
      <c r="B7" s="3" t="s">
        <v>716</v>
      </c>
      <c r="C7" s="3" t="n">
        <v>8</v>
      </c>
      <c r="D7" s="3" t="n">
        <f aca="false">SUMPRODUCT(('Transactional Catalog'!J2:J9&lt;&gt;"To Be Confirmed")*('Transactional Catalog'!J2:J9&lt;&gt;""))</f>
        <v>6</v>
      </c>
      <c r="E7" s="3" t="str">
        <f aca="false">IF(D7=C7,"Pass","Warn")</f>
        <v>Warn</v>
      </c>
      <c r="F7" s="3" t="s">
        <v>717</v>
      </c>
    </row>
    <row r="8" customFormat="false" ht="15" hidden="false" customHeight="false" outlineLevel="0" collapsed="false">
      <c r="A8" s="3" t="n">
        <v>7</v>
      </c>
      <c r="B8" s="3" t="s">
        <v>718</v>
      </c>
      <c r="C8" s="3" t="n">
        <v>8</v>
      </c>
      <c r="D8" s="3" t="n">
        <f aca="false">COUNTIF('Reference Catalog'!H2:H9,"Defined")</f>
        <v>2</v>
      </c>
      <c r="E8" s="3" t="str">
        <f aca="false">IF(D8=C8,"Pass","Open")</f>
        <v>Open</v>
      </c>
      <c r="F8" s="3" t="s">
        <v>719</v>
      </c>
    </row>
    <row r="9" customFormat="false" ht="15" hidden="false" customHeight="false" outlineLevel="0" collapsed="false">
      <c r="A9" s="3" t="n">
        <v>8</v>
      </c>
      <c r="B9" s="3" t="s">
        <v>720</v>
      </c>
      <c r="C9" s="3" t="n">
        <v>7</v>
      </c>
      <c r="D9" s="3" t="n">
        <f aca="false">COUNTA('Reference-Transaction Mapping'!A2:A200)</f>
        <v>7</v>
      </c>
      <c r="E9" s="3" t="str">
        <f aca="false">IF(D9=C9,"Pass","Fail")</f>
        <v>Pass</v>
      </c>
      <c r="F9" s="3"/>
    </row>
    <row r="10" customFormat="false" ht="15" hidden="false" customHeight="false" outlineLevel="0" collapsed="false">
      <c r="A10" s="3" t="n">
        <v>9</v>
      </c>
      <c r="B10" s="3" t="s">
        <v>721</v>
      </c>
      <c r="C10" s="3" t="n">
        <v>0</v>
      </c>
      <c r="D10" s="3" t="n">
        <f aca="false">SUMPRODUCT(('Reference-Transaction Mapping'!A2:A8&lt;&gt;"")*(COUNTIF('Reference-Transaction Mapping'!A2:A8,'Reference-Transaction Mapping'!A2:A8)&gt;1))</f>
        <v>0</v>
      </c>
      <c r="E10" s="3" t="str">
        <f aca="false">IF(D10=C10,"Pass","Fail")</f>
        <v>Pass</v>
      </c>
      <c r="F10" s="3"/>
    </row>
    <row r="11" customFormat="false" ht="15" hidden="false" customHeight="false" outlineLevel="0" collapsed="false">
      <c r="A11" s="3" t="n">
        <v>10</v>
      </c>
      <c r="B11" s="3" t="s">
        <v>722</v>
      </c>
      <c r="C11" s="3" t="n">
        <v>0</v>
      </c>
      <c r="D11" s="3" t="n">
        <f aca="false">SUMPRODUCT(('Reference-Transaction Mapping'!B2:B8&lt;&gt;"")*(COUNTIF('Transactional Catalog'!A2:A9,'Reference-Transaction Mapping'!B2:B8)=0))</f>
        <v>0</v>
      </c>
      <c r="E11" s="3" t="str">
        <f aca="false">IF(D11=C11,"Pass","Fail")</f>
        <v>Pass</v>
      </c>
      <c r="F11" s="3"/>
    </row>
    <row r="12" customFormat="false" ht="15" hidden="false" customHeight="false" outlineLevel="0" collapsed="false">
      <c r="A12" s="3" t="n">
        <v>11</v>
      </c>
      <c r="B12" s="3" t="s">
        <v>723</v>
      </c>
      <c r="C12" s="3" t="n">
        <v>0</v>
      </c>
      <c r="D12" s="3" t="n">
        <f aca="false">SUMPRODUCT(('Reference-Transaction Mapping'!C2:C8&lt;&gt;"")*(COUNTIF('Reference Catalog'!A2:A9,'Reference-Transaction Mapping'!C2:C8)=0))</f>
        <v>0</v>
      </c>
      <c r="E12" s="3" t="str">
        <f aca="false">IF(D12=C12,"Pass","Fail")</f>
        <v>Pass</v>
      </c>
      <c r="F12" s="3"/>
    </row>
    <row r="13" customFormat="false" ht="15" hidden="false" customHeight="false" outlineLevel="0" collapsed="false">
      <c r="A13" s="3" t="n">
        <v>12</v>
      </c>
      <c r="B13" s="3" t="s">
        <v>724</v>
      </c>
      <c r="C13" s="3" t="n">
        <v>0</v>
      </c>
      <c r="D13" s="3" t="n">
        <f aca="false">COUNTIF('Reference-Transaction Mapping'!E2:E8,"To Be Confirmed")</f>
        <v>7</v>
      </c>
      <c r="E13" s="3" t="str">
        <f aca="false">IF(D13=C13,"Pass","Open")</f>
        <v>Open</v>
      </c>
      <c r="F13" s="3" t="s">
        <v>725</v>
      </c>
    </row>
    <row r="14" customFormat="false" ht="15" hidden="false" customHeight="false" outlineLevel="0" collapsed="false">
      <c r="A14" s="3" t="n">
        <v>13</v>
      </c>
      <c r="B14" s="3" t="s">
        <v>726</v>
      </c>
      <c r="C14" s="3" t="s">
        <v>727</v>
      </c>
      <c r="D14" s="3" t="n">
        <f aca="false">SUMPRODUCT(--(COUNTIF('Reference-Transaction Mapping'!B2:B8,'Transactional Catalog'!A2:A9)=0))</f>
        <v>5</v>
      </c>
      <c r="E14" s="3" t="s">
        <v>728</v>
      </c>
      <c r="F14" s="3" t="s">
        <v>729</v>
      </c>
    </row>
    <row r="15" customFormat="false" ht="15" hidden="false" customHeight="false" outlineLevel="0" collapsed="false">
      <c r="A15" s="3" t="n">
        <v>14</v>
      </c>
      <c r="B15" s="3" t="s">
        <v>730</v>
      </c>
      <c r="C15" s="3" t="s">
        <v>727</v>
      </c>
      <c r="D15" s="3" t="n">
        <f aca="false">SUMPRODUCT(--(COUNTIF('Reference-Transaction Mapping'!C2:C8,'Reference Catalog'!A2:A9)=0))</f>
        <v>5</v>
      </c>
      <c r="E15" s="3" t="s">
        <v>728</v>
      </c>
      <c r="F15" s="3" t="s">
        <v>731</v>
      </c>
    </row>
    <row r="16" customFormat="false" ht="15" hidden="false" customHeight="false" outlineLevel="0" collapsed="false">
      <c r="A16" s="3" t="n">
        <v>15</v>
      </c>
      <c r="B16" s="3" t="s">
        <v>732</v>
      </c>
      <c r="C16" s="3" t="n">
        <v>22</v>
      </c>
      <c r="D16" s="3" t="n">
        <f aca="false">COUNTA('Transaction Relationships'!A2:A100)</f>
        <v>22</v>
      </c>
      <c r="E16" s="3" t="str">
        <f aca="false">IF(D16=C16,"Pass","Fail")</f>
        <v>Pass</v>
      </c>
      <c r="F16" s="3"/>
    </row>
    <row r="17" customFormat="false" ht="15" hidden="false" customHeight="false" outlineLevel="0" collapsed="false">
      <c r="A17" s="3" t="n">
        <v>16</v>
      </c>
      <c r="B17" s="3" t="s">
        <v>733</v>
      </c>
      <c r="C17" s="3" t="n">
        <v>0</v>
      </c>
      <c r="D17" s="3" t="n">
        <f aca="false">SUMPRODUCT(('Transaction Relationships'!A2:A23&lt;&gt;"")*(COUNTIF('Transaction Relationships'!A2:A23,'Transaction Relationships'!A2:A23)&gt;1))</f>
        <v>0</v>
      </c>
      <c r="E17" s="3" t="str">
        <f aca="false">IF(D17=C17,"Pass","Fail")</f>
        <v>Pass</v>
      </c>
      <c r="F17" s="3"/>
    </row>
    <row r="18" customFormat="false" ht="15" hidden="false" customHeight="false" outlineLevel="0" collapsed="false">
      <c r="A18" s="3" t="n">
        <v>17</v>
      </c>
      <c r="B18" s="3" t="s">
        <v>734</v>
      </c>
      <c r="C18" s="3" t="n">
        <v>0</v>
      </c>
      <c r="D18" s="3" t="n">
        <f aca="false">SUMPRODUCT(('Transaction Relationships'!B2:B23&lt;&gt;"")*(COUNTIF('Transactional Catalog'!A2:A9,'Transaction Relationships'!B2:B23)=0))</f>
        <v>0</v>
      </c>
      <c r="E18" s="3" t="str">
        <f aca="false">IF(D18=C18,"Pass","Fail")</f>
        <v>Pass</v>
      </c>
      <c r="F18" s="3"/>
    </row>
    <row r="19" customFormat="false" ht="23.85" hidden="false" customHeight="false" outlineLevel="0" collapsed="false">
      <c r="A19" s="3" t="n">
        <v>18</v>
      </c>
      <c r="B19" s="3" t="s">
        <v>735</v>
      </c>
      <c r="C19" s="3" t="n">
        <v>0</v>
      </c>
      <c r="D19" s="3" t="n">
        <f aca="false">COUNTIF('Transaction Relationships'!F2:F23,"Unclassified*")</f>
        <v>5</v>
      </c>
      <c r="E19" s="3" t="str">
        <f aca="false">IF(D19=C19,"Pass","Open")</f>
        <v>Open</v>
      </c>
      <c r="F19" s="3" t="s">
        <v>736</v>
      </c>
    </row>
    <row r="20" customFormat="false" ht="15" hidden="false" customHeight="false" outlineLevel="0" collapsed="false">
      <c r="A20" s="3" t="n">
        <v>19</v>
      </c>
      <c r="B20" s="3" t="s">
        <v>737</v>
      </c>
      <c r="C20" s="3" t="s">
        <v>727</v>
      </c>
      <c r="D20" s="3" t="n">
        <f aca="false">COUNTIF('Transaction Relationships'!H2:H23,"To Be Confirmed")</f>
        <v>16</v>
      </c>
      <c r="E20" s="3" t="s">
        <v>728</v>
      </c>
      <c r="F20" s="3" t="s">
        <v>738</v>
      </c>
    </row>
    <row r="21" customFormat="false" ht="23.85" hidden="false" customHeight="false" outlineLevel="0" collapsed="false">
      <c r="A21" s="3" t="n">
        <v>20</v>
      </c>
      <c r="B21" s="3" t="s">
        <v>739</v>
      </c>
      <c r="C21" s="3" t="n">
        <v>22</v>
      </c>
      <c r="D21" s="3" t="n">
        <f aca="false">COUNTIF('Transaction Relationships'!C2:C23,"1:N")+COUNTIF('Transaction Relationships'!C2:C23,"N:1")+COUNTIF('Transaction Relationships'!C2:C23,"N:M")+COUNTIF('Transaction Relationships'!C2:C23,"1:1")+COUNTIF('Transaction Relationships'!C2:C23,"TBC")</f>
        <v>22</v>
      </c>
      <c r="E21" s="3" t="str">
        <f aca="false">IF(D21=C21,"Pass","Fail")</f>
        <v>Pass</v>
      </c>
      <c r="F21" s="3" t="s">
        <v>740</v>
      </c>
    </row>
    <row r="22" customFormat="false" ht="15" hidden="false" customHeight="false" outlineLevel="0" collapsed="false">
      <c r="A22" s="3" t="n">
        <v>21</v>
      </c>
      <c r="B22" s="3" t="s">
        <v>741</v>
      </c>
      <c r="C22" s="3" t="s">
        <v>727</v>
      </c>
      <c r="D22" s="3" t="n">
        <f aca="false">COUNTIF('Transaction Relationships'!C2:C23,"TBC")</f>
        <v>10</v>
      </c>
      <c r="E22" s="3" t="s">
        <v>728</v>
      </c>
      <c r="F22" s="3" t="s">
        <v>742</v>
      </c>
    </row>
    <row r="23" customFormat="false" ht="15" hidden="false" customHeight="false" outlineLevel="0" collapsed="false">
      <c r="A23" s="3" t="n">
        <v>22</v>
      </c>
      <c r="B23" s="3" t="s">
        <v>743</v>
      </c>
      <c r="C23" s="3" t="s">
        <v>727</v>
      </c>
      <c r="D23" s="3" t="n">
        <f aca="false">COUNTA('Transaction Relationships'!I2:I23)</f>
        <v>14</v>
      </c>
      <c r="E23" s="3" t="s">
        <v>728</v>
      </c>
      <c r="F23" s="3" t="s">
        <v>744</v>
      </c>
    </row>
    <row r="24" customFormat="false" ht="15" hidden="false" customHeight="false" outlineLevel="0" collapsed="false">
      <c r="A24" s="3" t="n">
        <v>23</v>
      </c>
      <c r="B24" s="3" t="s">
        <v>745</v>
      </c>
      <c r="C24" s="3" t="s">
        <v>727</v>
      </c>
      <c r="D24" s="3" t="n">
        <f aca="false">COUNTA('Shared Data'!A2:A100)</f>
        <v>14</v>
      </c>
      <c r="E24" s="3" t="s">
        <v>728</v>
      </c>
      <c r="F24" s="3" t="s">
        <v>746</v>
      </c>
    </row>
    <row r="25" customFormat="false" ht="15" hidden="false" customHeight="false" outlineLevel="0" collapsed="false">
      <c r="A25" s="3" t="n">
        <v>24</v>
      </c>
      <c r="B25" s="3" t="s">
        <v>747</v>
      </c>
      <c r="C25" s="3" t="s">
        <v>727</v>
      </c>
      <c r="D25" s="3" t="n">
        <f aca="false">COUNTA('Duplicate &amp; Conflict Log'!A2:A200)</f>
        <v>35</v>
      </c>
      <c r="E25" s="3" t="s">
        <v>728</v>
      </c>
      <c r="F25" s="3" t="s">
        <v>748</v>
      </c>
    </row>
    <row r="26" customFormat="false" ht="15" hidden="false" customHeight="false" outlineLevel="0" collapsed="false">
      <c r="A26" s="3" t="n">
        <v>25</v>
      </c>
      <c r="B26" s="3" t="s">
        <v>749</v>
      </c>
      <c r="C26" s="3" t="s">
        <v>727</v>
      </c>
      <c r="D26" s="3" t="n">
        <f aca="false">COUNTA('Open Decisions'!A2:A200)</f>
        <v>32</v>
      </c>
      <c r="E26" s="3" t="s">
        <v>728</v>
      </c>
      <c r="F26" s="3"/>
    </row>
    <row r="27" customFormat="false" ht="23.85" hidden="false" customHeight="false" outlineLevel="0" collapsed="false">
      <c r="A27" s="3" t="n">
        <v>26</v>
      </c>
      <c r="B27" s="3" t="s">
        <v>750</v>
      </c>
      <c r="C27" s="3" t="n">
        <v>16</v>
      </c>
      <c r="D27" s="3" t="s">
        <v>751</v>
      </c>
      <c r="E27" s="3" t="s">
        <v>591</v>
      </c>
      <c r="F27" s="3" t="s">
        <v>752</v>
      </c>
    </row>
    <row r="28" customFormat="false" ht="15" hidden="false" customHeight="false" outlineLevel="0" collapsed="false">
      <c r="A28" s="3" t="n">
        <v>27</v>
      </c>
      <c r="B28" s="3" t="s">
        <v>753</v>
      </c>
      <c r="C28" s="3" t="n">
        <v>0</v>
      </c>
      <c r="D28" s="3" t="n">
        <v>0</v>
      </c>
      <c r="E28" s="3" t="s">
        <v>754</v>
      </c>
      <c r="F28" s="3" t="s">
        <v>755</v>
      </c>
    </row>
    <row r="29" customFormat="false" ht="15" hidden="false" customHeight="false" outlineLevel="0" collapsed="false">
      <c r="A29" s="3" t="n">
        <v>28</v>
      </c>
      <c r="B29" s="3" t="s">
        <v>756</v>
      </c>
      <c r="C29" s="3" t="n">
        <v>0</v>
      </c>
      <c r="D29" s="3" t="n">
        <v>0</v>
      </c>
      <c r="E29" s="3" t="s">
        <v>754</v>
      </c>
      <c r="F29" s="3" t="s">
        <v>757</v>
      </c>
    </row>
    <row r="30" customFormat="false" ht="15" hidden="false" customHeight="false" outlineLevel="0" collapsed="false">
      <c r="A30" s="3" t="n">
        <v>29</v>
      </c>
      <c r="B30" s="3" t="s">
        <v>758</v>
      </c>
      <c r="C30" s="3" t="s">
        <v>727</v>
      </c>
      <c r="D30" s="3" t="s">
        <v>727</v>
      </c>
      <c r="E30" s="3" t="s">
        <v>759</v>
      </c>
      <c r="F30" s="3" t="s">
        <v>760</v>
      </c>
    </row>
    <row r="31" customFormat="false" ht="35.05" hidden="false" customHeight="false" outlineLevel="0" collapsed="false">
      <c r="A31" s="3" t="n">
        <v>30</v>
      </c>
      <c r="B31" s="3" t="s">
        <v>761</v>
      </c>
      <c r="C31" s="3" t="s">
        <v>727</v>
      </c>
      <c r="D31" s="3" t="s">
        <v>762</v>
      </c>
      <c r="E31" s="3" t="s">
        <v>591</v>
      </c>
      <c r="F31" s="3" t="s">
        <v>763</v>
      </c>
    </row>
    <row r="32" customFormat="false" ht="15" hidden="false" customHeight="false" outlineLevel="0" collapsed="false">
      <c r="A32" s="4"/>
      <c r="B32" s="4"/>
      <c r="C32" s="4"/>
      <c r="D32" s="4"/>
      <c r="E32" s="4"/>
      <c r="F32" s="4"/>
    </row>
    <row r="33" customFormat="false" ht="15" hidden="false" customHeight="false" outlineLevel="0" collapsed="false">
      <c r="A33" s="4"/>
      <c r="B33" s="4" t="s">
        <v>764</v>
      </c>
      <c r="C33" s="4"/>
      <c r="D33" s="4"/>
      <c r="E33" s="4" t="str">
        <f aca="false">IF(COUNTIF(E2:E31,"Fail")+COUNTIF(E2:E31,"Open")&gt;0,"Draft - not ready for final sign-off","Ready for review")</f>
        <v>Draft - not ready for final sign-off</v>
      </c>
      <c r="F33" s="4" t="s">
        <v>765</v>
      </c>
    </row>
    <row r="34" customFormat="false" ht="15" hidden="false" customHeight="false" outlineLevel="0" collapsed="false">
      <c r="A34" s="4"/>
      <c r="B34" s="4" t="s">
        <v>766</v>
      </c>
      <c r="C34" s="4"/>
      <c r="D34" s="4"/>
      <c r="E34" s="4" t="s">
        <v>767</v>
      </c>
      <c r="F34" s="4" t="s">
        <v>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2026-10-02T11:43:54Z</dcterms:created>
  <dc:creator>openpyxl</dc:creator>
  <dc:description/>
  <dc:language>en-US</dc:language>
  <cp:lastModifiedBy/>
  <dcterms:modified xsi:type="dcterms:W3CDTF">2026-10-02T11:43:54Z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